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filterPrivacy="1" updateLinks="never" codeName="EstaPasta_de_trabalho" defaultThemeVersion="124226"/>
  <bookViews>
    <workbookView xWindow="360" yWindow="300" windowWidth="18735" windowHeight="11700"/>
  </bookViews>
  <sheets>
    <sheet name="DS" sheetId="4" r:id="rId1"/>
  </sheets>
  <externalReferences>
    <externalReference r:id="rId2"/>
  </externalReferences>
  <definedNames>
    <definedName name="connectionStringToDatabase">"Provider=Microsoft.Jet.OLEDB.4.0;Data Source=C:\_Chemtech\Google Drive\CPNM - CopyPasteNuncaMais\Versões\Desenvolvimento\DatabaseCPNM.mdb;"</definedName>
    <definedName name="dummy3dummyD6dummy1">"-0,15 °C"</definedName>
    <definedName name="dummy3dummyD7dummy3">"0,00 km²"</definedName>
    <definedName name="dummy3dummyU6dummy1">"°C"</definedName>
    <definedName name="dummy3dummyU7dummy1">"m²"</definedName>
    <definedName name="dummy3dummyV5dummy1">"273,05"</definedName>
    <definedName name="dummy3dummyV7dummy1">"1.200,00"</definedName>
    <definedName name="dummy3dummyZNOME_ITEMdummy0">"10-HT-107"</definedName>
    <definedName name="tezt">"nada"</definedName>
  </definedNames>
  <calcPr calcId="125725"/>
</workbook>
</file>

<file path=xl/calcChain.xml><?xml version="1.0" encoding="utf-8"?>
<calcChain xmlns="http://schemas.openxmlformats.org/spreadsheetml/2006/main">
  <c r="AL18" i="4"/>
  <c r="AQ7"/>
  <c r="V26"/>
  <c r="AZ10"/>
  <c r="Q26"/>
  <c r="AD26"/>
  <c r="AR10"/>
  <c r="U10"/>
  <c r="AJ43"/>
  <c r="AJ44"/>
  <c r="AJ45"/>
  <c r="AU52"/>
  <c r="U53"/>
  <c r="AK53"/>
  <c r="AZ53"/>
</calcChain>
</file>

<file path=xl/sharedStrings.xml><?xml version="1.0" encoding="utf-8"?>
<sst xmlns="http://schemas.openxmlformats.org/spreadsheetml/2006/main" count="154" uniqueCount="100">
  <si>
    <t>The present document or drawing is property of TECHNIP ITALY S.p.A. and shall not, under any circumstances, be totally or partially, directly or indirectly, transferred, reproduced, copied, disclosed or used, without its prior written consent, for any purpose and in any way other than that for which it is specifically furnished or outside the extent of the agreed upon right of use.</t>
  </si>
  <si>
    <t xml:space="preserve"> </t>
  </si>
  <si>
    <t>DATA SHEET FOR
PLATES &amp; FRAMES HEAT EXCHANGER</t>
  </si>
  <si>
    <t>Rev.</t>
  </si>
  <si>
    <t>Service of Unit</t>
  </si>
  <si>
    <t>Process Condensate Cooler</t>
  </si>
  <si>
    <t>Item</t>
  </si>
  <si>
    <t>MR</t>
  </si>
  <si>
    <t>Manufacturer</t>
  </si>
  <si>
    <t>Type</t>
  </si>
  <si>
    <t>Plates</t>
  </si>
  <si>
    <t>Connected</t>
  </si>
  <si>
    <t>Surface per Unit (eff.)</t>
  </si>
  <si>
    <t>N° of Packs per Unit</t>
  </si>
  <si>
    <t>Surface per Pack</t>
  </si>
  <si>
    <t>PERFORMANCE OF ONE UNIT</t>
  </si>
  <si>
    <t>(N° of Units Required</t>
  </si>
  <si>
    <t>)</t>
  </si>
  <si>
    <t>Hot Side (In/Out)</t>
  </si>
  <si>
    <t>Cold Side (In/Out)</t>
  </si>
  <si>
    <t>Fluid Circulated</t>
  </si>
  <si>
    <t>Condensate</t>
  </si>
  <si>
    <t>Cooling Water</t>
  </si>
  <si>
    <t>Total Fluid Entering</t>
  </si>
  <si>
    <t>Vapour</t>
  </si>
  <si>
    <t>Liquid</t>
  </si>
  <si>
    <t>Steam</t>
  </si>
  <si>
    <t>Water</t>
  </si>
  <si>
    <t>Non Condensables</t>
  </si>
  <si>
    <t>M.W.</t>
  </si>
  <si>
    <t>(Vap. / Non Condensables)</t>
  </si>
  <si>
    <t>/</t>
  </si>
  <si>
    <t>Density</t>
  </si>
  <si>
    <t>(Liq. / Vap.)</t>
  </si>
  <si>
    <t>Viscosity</t>
  </si>
  <si>
    <t>Therm. Cond.</t>
  </si>
  <si>
    <t>Specific Heat</t>
  </si>
  <si>
    <t>Latent Heat</t>
  </si>
  <si>
    <t>Operating Temperature</t>
  </si>
  <si>
    <t>Velocity</t>
  </si>
  <si>
    <t>Pressure Drop</t>
  </si>
  <si>
    <t>Allowed</t>
  </si>
  <si>
    <t>Calc.</t>
  </si>
  <si>
    <t>Inlet Operating Pressure</t>
  </si>
  <si>
    <t>Fouling Factor</t>
  </si>
  <si>
    <t>Side Heat Trans. Coeff.</t>
  </si>
  <si>
    <t>Heat Duty</t>
  </si>
  <si>
    <t>3,2</t>
  </si>
  <si>
    <t>MTD (corr.)</t>
  </si>
  <si>
    <t>Required Overdesign</t>
  </si>
  <si>
    <t>%</t>
  </si>
  <si>
    <t>Transfer Rate</t>
  </si>
  <si>
    <t>Service</t>
  </si>
  <si>
    <t>Clean</t>
  </si>
  <si>
    <t>CONSTRUCTION OF ONE PACK</t>
  </si>
  <si>
    <t>Hot Side</t>
  </si>
  <si>
    <t>Cold Side</t>
  </si>
  <si>
    <t>Design / Test Press.</t>
  </si>
  <si>
    <t>Design Temperature</t>
  </si>
  <si>
    <t>N° of Passes in Parallel</t>
  </si>
  <si>
    <t>N° of Passes in Series</t>
  </si>
  <si>
    <t>Connections Size &amp; Rating</t>
  </si>
  <si>
    <t>In</t>
  </si>
  <si>
    <t>Out</t>
  </si>
  <si>
    <t>Intermediate</t>
  </si>
  <si>
    <t>N° of Plates</t>
  </si>
  <si>
    <t>Plate Thk.</t>
  </si>
  <si>
    <t>Plate Dimensions</t>
  </si>
  <si>
    <t>Length x Width x Height</t>
  </si>
  <si>
    <t>x</t>
  </si>
  <si>
    <t>Effective Transfer Surface per Plate</t>
  </si>
  <si>
    <t>MATERIALS</t>
  </si>
  <si>
    <t>GASKETS</t>
  </si>
  <si>
    <t>Frame</t>
  </si>
  <si>
    <t>Overall Dimensions: Length x Width x Height</t>
  </si>
  <si>
    <t>Weight: Empty</t>
  </si>
  <si>
    <t>; Full of Water</t>
  </si>
  <si>
    <t>; Plates Pack</t>
  </si>
  <si>
    <t>NOTES:</t>
  </si>
  <si>
    <t>SP 0661.XLT 09/2003</t>
  </si>
  <si>
    <t>Status</t>
  </si>
  <si>
    <t>Date</t>
  </si>
  <si>
    <t>Wrt</t>
  </si>
  <si>
    <t>Verif</t>
  </si>
  <si>
    <t>App</t>
  </si>
  <si>
    <t>m/s</t>
  </si>
  <si>
    <t>kg/cm²</t>
  </si>
  <si>
    <t>kg/cm²(g)</t>
  </si>
  <si>
    <t>°Cm²h/kcal</t>
  </si>
  <si>
    <t>kcal/hm²°C</t>
  </si>
  <si>
    <t>Gcal/h</t>
  </si>
  <si>
    <t>°C</t>
  </si>
  <si>
    <t>in</t>
  </si>
  <si>
    <t>kg/h</t>
  </si>
  <si>
    <t>kg/kmol</t>
  </si>
  <si>
    <t>kg/m³</t>
  </si>
  <si>
    <t>cP</t>
  </si>
  <si>
    <t>kcal/hm°C</t>
  </si>
  <si>
    <t>kcal/kg°C</t>
  </si>
  <si>
    <t>kcal/kg</t>
  </si>
</sst>
</file>

<file path=xl/styles.xml><?xml version="1.0" encoding="utf-8"?>
<styleSheet xmlns="http://schemas.openxmlformats.org/spreadsheetml/2006/main">
  <numFmts count="3">
    <numFmt numFmtId="164" formatCode="#,##0.0"/>
    <numFmt numFmtId="165" formatCode="#,##0.000"/>
    <numFmt numFmtId="166" formatCode="#,##0.00000"/>
  </numFmts>
  <fonts count="11">
    <font>
      <sz val="11"/>
      <color theme="1"/>
      <name val="Calibri"/>
      <family val="2"/>
      <scheme val="minor"/>
    </font>
    <font>
      <sz val="6"/>
      <name val="Arial"/>
      <family val="2"/>
    </font>
    <font>
      <sz val="8"/>
      <name val="Times New Roman"/>
      <family val="1"/>
    </font>
    <font>
      <sz val="8"/>
      <color indexed="8"/>
      <name val="Times New Roman"/>
      <family val="1"/>
    </font>
    <font>
      <b/>
      <sz val="10"/>
      <name val="Times New Roman"/>
      <family val="1"/>
    </font>
    <font>
      <b/>
      <sz val="8"/>
      <name val="Times New Roman"/>
      <family val="1"/>
    </font>
    <font>
      <b/>
      <sz val="8"/>
      <name val="Courier New"/>
      <family val="3"/>
    </font>
    <font>
      <b/>
      <sz val="8"/>
      <color indexed="12"/>
      <name val="Courier New"/>
      <family val="3"/>
    </font>
    <font>
      <sz val="10"/>
      <name val="Arial"/>
      <family val="2"/>
    </font>
    <font>
      <sz val="8"/>
      <name val="Courier New"/>
      <family val="3"/>
    </font>
    <font>
      <sz val="6"/>
      <name val="Times New Roman"/>
      <family val="1"/>
    </font>
  </fonts>
  <fills count="2">
    <fill>
      <patternFill patternType="none"/>
    </fill>
    <fill>
      <patternFill patternType="gray125"/>
    </fill>
  </fills>
  <borders count="37">
    <border>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top/>
      <bottom style="hair">
        <color indexed="64"/>
      </bottom>
      <diagonal/>
    </border>
    <border>
      <left/>
      <right/>
      <top/>
      <bottom style="hair">
        <color indexed="64"/>
      </bottom>
      <diagonal/>
    </border>
    <border>
      <left style="thin">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right style="hair">
        <color indexed="64"/>
      </right>
      <top/>
      <bottom style="thin">
        <color indexed="64"/>
      </bottom>
      <diagonal/>
    </border>
    <border>
      <left/>
      <right style="thin">
        <color indexed="64"/>
      </right>
      <top style="hair">
        <color indexed="64"/>
      </top>
      <bottom/>
      <diagonal/>
    </border>
    <border>
      <left/>
      <right style="thin">
        <color indexed="64"/>
      </right>
      <top/>
      <bottom style="hair">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8" fillId="0" borderId="0"/>
  </cellStyleXfs>
  <cellXfs count="239">
    <xf numFmtId="0" fontId="0" fillId="0" borderId="0" xfId="0"/>
    <xf numFmtId="0" fontId="9" fillId="0" borderId="0" xfId="1" applyFont="1" applyAlignment="1">
      <alignment vertical="center"/>
    </xf>
    <xf numFmtId="0" fontId="9" fillId="0" borderId="0" xfId="1" applyFont="1" applyAlignment="1">
      <alignment vertical="center" shrinkToFit="1"/>
    </xf>
    <xf numFmtId="0" fontId="2" fillId="0" borderId="0" xfId="1" applyFont="1" applyAlignment="1">
      <alignment vertical="center" shrinkToFit="1"/>
    </xf>
    <xf numFmtId="0" fontId="2" fillId="0" borderId="4" xfId="1" applyFont="1" applyBorder="1" applyAlignment="1">
      <alignment horizontal="left" vertical="center" shrinkToFit="1"/>
    </xf>
    <xf numFmtId="0" fontId="10" fillId="0" borderId="0" xfId="1" applyFont="1" applyAlignment="1">
      <alignment vertical="center"/>
    </xf>
    <xf numFmtId="0" fontId="2" fillId="0" borderId="14" xfId="1" applyFont="1" applyFill="1" applyBorder="1" applyAlignment="1">
      <alignment horizontal="right" vertical="center" shrinkToFit="1"/>
    </xf>
    <xf numFmtId="3" fontId="2" fillId="0" borderId="28" xfId="1" applyNumberFormat="1" applyFont="1" applyFill="1" applyBorder="1" applyAlignment="1">
      <alignment horizontal="right" vertical="center" shrinkToFit="1"/>
    </xf>
    <xf numFmtId="0" fontId="2" fillId="0" borderId="14" xfId="1" quotePrefix="1" applyFont="1" applyFill="1" applyBorder="1" applyAlignment="1">
      <alignment horizontal="center" vertical="center" shrinkToFit="1"/>
    </xf>
    <xf numFmtId="49" fontId="9" fillId="0" borderId="0" xfId="1" applyNumberFormat="1" applyFont="1" applyAlignment="1">
      <alignment vertical="center"/>
    </xf>
    <xf numFmtId="0" fontId="2" fillId="0" borderId="8" xfId="1" applyFont="1" applyFill="1" applyBorder="1" applyAlignment="1">
      <alignment horizontal="left" vertical="center" shrinkToFit="1"/>
    </xf>
    <xf numFmtId="4" fontId="2" fillId="0" borderId="17" xfId="1" quotePrefix="1" applyNumberFormat="1" applyFont="1" applyFill="1" applyBorder="1" applyAlignment="1">
      <alignment horizontal="center" vertical="center" shrinkToFit="1"/>
    </xf>
    <xf numFmtId="165" fontId="2" fillId="0" borderId="17" xfId="1" quotePrefix="1" applyNumberFormat="1" applyFont="1" applyFill="1" applyBorder="1" applyAlignment="1">
      <alignment horizontal="center" vertical="center" shrinkToFit="1"/>
    </xf>
    <xf numFmtId="0" fontId="9" fillId="0" borderId="0" xfId="1" applyFont="1" applyFill="1" applyAlignment="1">
      <alignment vertical="center"/>
    </xf>
    <xf numFmtId="0" fontId="9" fillId="0" borderId="0" xfId="1" applyFont="1" applyFill="1" applyAlignment="1">
      <alignment horizontal="center" vertical="center"/>
    </xf>
    <xf numFmtId="49" fontId="9" fillId="0" borderId="0" xfId="1" applyNumberFormat="1" applyFont="1" applyFill="1" applyAlignment="1">
      <alignment horizontal="center" vertical="center"/>
    </xf>
    <xf numFmtId="49" fontId="9" fillId="0" borderId="0" xfId="1" applyNumberFormat="1" applyFont="1" applyFill="1" applyAlignment="1">
      <alignment vertical="center"/>
    </xf>
    <xf numFmtId="0" fontId="2" fillId="0" borderId="1" xfId="1" applyFont="1" applyBorder="1" applyAlignment="1">
      <alignment horizontal="center" vertical="center" textRotation="90"/>
    </xf>
    <xf numFmtId="0" fontId="7" fillId="0" borderId="14" xfId="1" applyFont="1" applyFill="1" applyBorder="1" applyAlignment="1">
      <alignment horizontal="left" vertical="center" shrinkToFit="1"/>
    </xf>
    <xf numFmtId="0" fontId="7" fillId="0" borderId="13" xfId="1" applyFont="1" applyFill="1" applyBorder="1" applyAlignment="1">
      <alignment horizontal="left" vertical="center" shrinkToFit="1"/>
    </xf>
    <xf numFmtId="0" fontId="2" fillId="0" borderId="17" xfId="1" applyFont="1" applyFill="1" applyBorder="1" applyAlignment="1">
      <alignment horizontal="right" vertical="center" shrinkToFit="1"/>
    </xf>
    <xf numFmtId="0" fontId="6" fillId="0" borderId="14" xfId="1" applyFont="1" applyFill="1" applyBorder="1" applyAlignment="1">
      <alignment horizontal="right" vertical="center" shrinkToFit="1"/>
    </xf>
    <xf numFmtId="0" fontId="6" fillId="0" borderId="15" xfId="1" applyFont="1" applyFill="1" applyBorder="1" applyAlignment="1">
      <alignment horizontal="center" vertical="center" shrinkToFit="1"/>
    </xf>
    <xf numFmtId="0" fontId="6" fillId="0" borderId="17" xfId="1" applyFont="1" applyFill="1" applyBorder="1" applyAlignment="1">
      <alignment horizontal="center" vertical="center" shrinkToFit="1"/>
    </xf>
    <xf numFmtId="0" fontId="6" fillId="0" borderId="16" xfId="1" applyFont="1" applyFill="1" applyBorder="1" applyAlignment="1">
      <alignment horizontal="center" vertical="center" shrinkToFit="1"/>
    </xf>
    <xf numFmtId="0" fontId="2" fillId="0" borderId="5" xfId="1" applyFont="1" applyBorder="1" applyAlignment="1">
      <alignment horizontal="center" vertical="center" shrinkToFit="1"/>
    </xf>
    <xf numFmtId="0" fontId="2" fillId="0" borderId="1" xfId="1" applyFont="1" applyBorder="1" applyAlignment="1">
      <alignment horizontal="center" vertical="center" shrinkToFit="1"/>
    </xf>
    <xf numFmtId="0" fontId="2" fillId="0" borderId="6" xfId="1" applyFont="1" applyBorder="1" applyAlignment="1">
      <alignment horizontal="center" vertical="center" shrinkToFit="1"/>
    </xf>
    <xf numFmtId="0" fontId="2" fillId="0" borderId="8" xfId="1" applyFont="1" applyBorder="1" applyAlignment="1">
      <alignment horizontal="center" vertical="center" shrinkToFit="1"/>
    </xf>
    <xf numFmtId="0" fontId="2" fillId="0" borderId="14" xfId="1" applyFont="1" applyFill="1" applyBorder="1" applyAlignment="1">
      <alignment horizontal="right" vertical="center" shrinkToFit="1"/>
    </xf>
    <xf numFmtId="0" fontId="2" fillId="0" borderId="15" xfId="1" applyFont="1" applyFill="1" applyBorder="1" applyAlignment="1">
      <alignment vertical="center" shrinkToFit="1"/>
    </xf>
    <xf numFmtId="0" fontId="2" fillId="0" borderId="17" xfId="1" applyFont="1" applyFill="1" applyBorder="1" applyAlignment="1">
      <alignment vertical="center" shrinkToFit="1"/>
    </xf>
    <xf numFmtId="0" fontId="1" fillId="0" borderId="1" xfId="1" applyFont="1" applyBorder="1" applyAlignment="1">
      <alignment textRotation="90" wrapText="1"/>
    </xf>
    <xf numFmtId="0" fontId="6" fillId="0" borderId="15" xfId="1" applyFont="1" applyFill="1" applyBorder="1" applyAlignment="1">
      <alignment horizontal="left" vertical="center" shrinkToFit="1"/>
    </xf>
    <xf numFmtId="0" fontId="6" fillId="0" borderId="17" xfId="1" applyFont="1" applyFill="1" applyBorder="1" applyAlignment="1">
      <alignment horizontal="left" vertical="center" shrinkToFit="1"/>
    </xf>
    <xf numFmtId="0" fontId="6" fillId="0" borderId="16" xfId="1" applyFont="1" applyFill="1" applyBorder="1" applyAlignment="1">
      <alignment horizontal="left" vertical="center" shrinkToFit="1"/>
    </xf>
    <xf numFmtId="4" fontId="6" fillId="0" borderId="17" xfId="1" applyNumberFormat="1" applyFont="1" applyFill="1" applyBorder="1" applyAlignment="1">
      <alignment horizontal="center" vertical="center" shrinkToFit="1"/>
    </xf>
    <xf numFmtId="4" fontId="6" fillId="0" borderId="16" xfId="1" applyNumberFormat="1" applyFont="1" applyFill="1" applyBorder="1" applyAlignment="1">
      <alignment horizontal="center" vertical="center" shrinkToFit="1"/>
    </xf>
    <xf numFmtId="0" fontId="2" fillId="0" borderId="26" xfId="1" applyFont="1" applyFill="1" applyBorder="1" applyAlignment="1">
      <alignment vertical="center" shrinkToFit="1"/>
    </xf>
    <xf numFmtId="0" fontId="2" fillId="0" borderId="19" xfId="1" applyFont="1" applyFill="1" applyBorder="1" applyAlignment="1">
      <alignment vertical="center" shrinkToFit="1"/>
    </xf>
    <xf numFmtId="0" fontId="6" fillId="0" borderId="19" xfId="1" applyFont="1" applyFill="1" applyBorder="1" applyAlignment="1">
      <alignment horizontal="center" vertical="center" shrinkToFit="1"/>
    </xf>
    <xf numFmtId="4" fontId="6" fillId="0" borderId="12" xfId="1" quotePrefix="1" applyNumberFormat="1" applyFont="1" applyFill="1" applyBorder="1" applyAlignment="1">
      <alignment horizontal="center" vertical="center" shrinkToFit="1"/>
    </xf>
    <xf numFmtId="4" fontId="6" fillId="0" borderId="14" xfId="1" quotePrefix="1" applyNumberFormat="1" applyFont="1" applyFill="1" applyBorder="1" applyAlignment="1">
      <alignment horizontal="center" vertical="center" shrinkToFit="1"/>
    </xf>
    <xf numFmtId="4" fontId="6" fillId="0" borderId="15" xfId="1" quotePrefix="1" applyNumberFormat="1" applyFont="1" applyFill="1" applyBorder="1" applyAlignment="1">
      <alignment horizontal="center" vertical="center" shrinkToFit="1"/>
    </xf>
    <xf numFmtId="4" fontId="6" fillId="0" borderId="17" xfId="1" quotePrefix="1" applyNumberFormat="1" applyFont="1" applyFill="1" applyBorder="1" applyAlignment="1">
      <alignment horizontal="center" vertical="center" shrinkToFit="1"/>
    </xf>
    <xf numFmtId="4" fontId="6" fillId="0" borderId="19" xfId="1" applyNumberFormat="1" applyFont="1" applyFill="1" applyBorder="1" applyAlignment="1">
      <alignment horizontal="center" vertical="center" shrinkToFit="1"/>
    </xf>
    <xf numFmtId="4" fontId="6" fillId="0" borderId="20" xfId="1" applyNumberFormat="1" applyFont="1" applyFill="1" applyBorder="1" applyAlignment="1">
      <alignment horizontal="center" vertical="center" shrinkToFit="1"/>
    </xf>
    <xf numFmtId="164" fontId="6" fillId="0" borderId="36" xfId="1" applyNumberFormat="1" applyFont="1" applyFill="1" applyBorder="1" applyAlignment="1">
      <alignment horizontal="center" vertical="center" shrinkToFit="1"/>
    </xf>
    <xf numFmtId="0" fontId="6" fillId="0" borderId="19" xfId="1" applyFont="1" applyFill="1" applyBorder="1" applyAlignment="1">
      <alignment horizontal="right" vertical="center" shrinkToFit="1"/>
    </xf>
    <xf numFmtId="0" fontId="7" fillId="0" borderId="19" xfId="1" applyFont="1" applyFill="1" applyBorder="1" applyAlignment="1">
      <alignment horizontal="left" vertical="center" shrinkToFit="1"/>
    </xf>
    <xf numFmtId="0" fontId="7" fillId="0" borderId="24" xfId="1" applyFont="1" applyFill="1" applyBorder="1" applyAlignment="1">
      <alignment horizontal="left" vertical="center" shrinkToFit="1"/>
    </xf>
    <xf numFmtId="4" fontId="6" fillId="0" borderId="14" xfId="1" applyNumberFormat="1" applyFont="1" applyFill="1" applyBorder="1" applyAlignment="1">
      <alignment horizontal="center" vertical="center" shrinkToFit="1"/>
    </xf>
    <xf numFmtId="4" fontId="6" fillId="0" borderId="13" xfId="1" applyNumberFormat="1" applyFont="1" applyFill="1" applyBorder="1" applyAlignment="1">
      <alignment horizontal="center" vertical="center" shrinkToFit="1"/>
    </xf>
    <xf numFmtId="3" fontId="6" fillId="0" borderId="12" xfId="1" applyNumberFormat="1" applyFont="1" applyFill="1" applyBorder="1" applyAlignment="1">
      <alignment horizontal="center" vertical="center" shrinkToFit="1"/>
    </xf>
    <xf numFmtId="3" fontId="6" fillId="0" borderId="14" xfId="1" applyNumberFormat="1" applyFont="1" applyFill="1" applyBorder="1" applyAlignment="1">
      <alignment horizontal="center" vertical="center" shrinkToFit="1"/>
    </xf>
    <xf numFmtId="3" fontId="6" fillId="0" borderId="13" xfId="1" applyNumberFormat="1" applyFont="1" applyFill="1" applyBorder="1" applyAlignment="1">
      <alignment horizontal="center" vertical="center" shrinkToFit="1"/>
    </xf>
    <xf numFmtId="0" fontId="2" fillId="0" borderId="16" xfId="1" applyFont="1" applyFill="1" applyBorder="1" applyAlignment="1">
      <alignment vertical="center" shrinkToFit="1"/>
    </xf>
    <xf numFmtId="3" fontId="6" fillId="0" borderId="15" xfId="1" applyNumberFormat="1" applyFont="1" applyFill="1" applyBorder="1" applyAlignment="1">
      <alignment horizontal="center" vertical="center" shrinkToFit="1"/>
    </xf>
    <xf numFmtId="3" fontId="6" fillId="0" borderId="17" xfId="1" applyNumberFormat="1" applyFont="1" applyFill="1" applyBorder="1" applyAlignment="1">
      <alignment horizontal="center" vertical="center" shrinkToFit="1"/>
    </xf>
    <xf numFmtId="3" fontId="6" fillId="0" borderId="16" xfId="1" applyNumberFormat="1" applyFont="1" applyFill="1" applyBorder="1" applyAlignment="1">
      <alignment horizontal="center" vertical="center" shrinkToFit="1"/>
    </xf>
    <xf numFmtId="0" fontId="7" fillId="0" borderId="20" xfId="1" applyFont="1" applyFill="1" applyBorder="1" applyAlignment="1">
      <alignment horizontal="left" vertical="center" shrinkToFit="1"/>
    </xf>
    <xf numFmtId="0" fontId="2" fillId="0" borderId="18" xfId="1" applyFont="1" applyFill="1" applyBorder="1" applyAlignment="1">
      <alignment vertical="center" shrinkToFit="1"/>
    </xf>
    <xf numFmtId="0" fontId="2" fillId="0" borderId="12" xfId="1" applyFont="1" applyFill="1" applyBorder="1" applyAlignment="1">
      <alignment vertical="center" shrinkToFit="1"/>
    </xf>
    <xf numFmtId="0" fontId="2" fillId="0" borderId="14" xfId="1" applyFont="1" applyFill="1" applyBorder="1" applyAlignment="1">
      <alignment vertical="center" shrinkToFit="1"/>
    </xf>
    <xf numFmtId="0" fontId="7" fillId="0" borderId="17" xfId="1" applyFont="1" applyFill="1" applyBorder="1" applyAlignment="1">
      <alignment horizontal="left" vertical="center" shrinkToFit="1"/>
    </xf>
    <xf numFmtId="0" fontId="7" fillId="0" borderId="16" xfId="1" applyFont="1" applyFill="1" applyBorder="1" applyAlignment="1">
      <alignment horizontal="left" vertical="center" shrinkToFit="1"/>
    </xf>
    <xf numFmtId="0" fontId="2" fillId="0" borderId="5" xfId="1" applyFont="1" applyBorder="1" applyAlignment="1">
      <alignment vertical="center" shrinkToFit="1"/>
    </xf>
    <xf numFmtId="0" fontId="2" fillId="0" borderId="1" xfId="1" applyFont="1" applyBorder="1" applyAlignment="1">
      <alignment vertical="center" shrinkToFit="1"/>
    </xf>
    <xf numFmtId="4" fontId="2" fillId="0" borderId="18" xfId="1" applyNumberFormat="1" applyFont="1" applyFill="1" applyBorder="1" applyAlignment="1">
      <alignment horizontal="center" vertical="center" shrinkToFit="1"/>
    </xf>
    <xf numFmtId="4" fontId="2" fillId="0" borderId="19" xfId="1" applyNumberFormat="1" applyFont="1" applyFill="1" applyBorder="1" applyAlignment="1">
      <alignment horizontal="center" vertical="center" shrinkToFit="1"/>
    </xf>
    <xf numFmtId="3" fontId="6" fillId="0" borderId="18" xfId="1" applyNumberFormat="1" applyFont="1" applyFill="1" applyBorder="1" applyAlignment="1">
      <alignment horizontal="center" vertical="center" shrinkToFit="1"/>
    </xf>
    <xf numFmtId="3" fontId="6" fillId="0" borderId="19" xfId="1" applyNumberFormat="1" applyFont="1" applyFill="1" applyBorder="1" applyAlignment="1">
      <alignment horizontal="center" vertical="center" shrinkToFit="1"/>
    </xf>
    <xf numFmtId="3" fontId="6" fillId="0" borderId="20" xfId="1" applyNumberFormat="1" applyFont="1" applyFill="1" applyBorder="1" applyAlignment="1">
      <alignment horizontal="center" vertical="center" shrinkToFit="1"/>
    </xf>
    <xf numFmtId="165" fontId="6" fillId="0" borderId="17" xfId="1" applyNumberFormat="1" applyFont="1" applyFill="1" applyBorder="1" applyAlignment="1">
      <alignment horizontal="center" vertical="center" shrinkToFit="1"/>
    </xf>
    <xf numFmtId="165" fontId="6" fillId="0" borderId="16" xfId="1" applyNumberFormat="1" applyFont="1" applyFill="1" applyBorder="1" applyAlignment="1">
      <alignment horizontal="center" vertical="center" shrinkToFit="1"/>
    </xf>
    <xf numFmtId="0" fontId="2" fillId="0" borderId="2" xfId="1" applyFont="1" applyBorder="1" applyAlignment="1">
      <alignment horizontal="center" vertical="center" shrinkToFit="1"/>
    </xf>
    <xf numFmtId="0" fontId="2" fillId="0" borderId="3" xfId="1" applyFont="1" applyBorder="1" applyAlignment="1">
      <alignment horizontal="center" vertical="center" shrinkToFit="1"/>
    </xf>
    <xf numFmtId="0" fontId="3" fillId="0" borderId="2" xfId="1" applyFont="1" applyFill="1" applyBorder="1" applyAlignment="1">
      <alignment horizontal="center" vertical="center" shrinkToFit="1"/>
    </xf>
    <xf numFmtId="0" fontId="3" fillId="0" borderId="4" xfId="1" applyFont="1" applyFill="1" applyBorder="1" applyAlignment="1">
      <alignment horizontal="center" vertical="center" shrinkToFit="1"/>
    </xf>
    <xf numFmtId="0" fontId="3" fillId="0" borderId="3" xfId="1" applyFont="1" applyFill="1" applyBorder="1" applyAlignment="1">
      <alignment horizontal="center" vertical="center" shrinkToFit="1"/>
    </xf>
    <xf numFmtId="0" fontId="3" fillId="0" borderId="5" xfId="1" applyFont="1" applyFill="1" applyBorder="1" applyAlignment="1">
      <alignment horizontal="center" vertical="center" shrinkToFit="1"/>
    </xf>
    <xf numFmtId="0" fontId="3" fillId="0" borderId="0" xfId="1" applyFont="1" applyFill="1" applyBorder="1" applyAlignment="1">
      <alignment horizontal="center" vertical="center" shrinkToFit="1"/>
    </xf>
    <xf numFmtId="0" fontId="3" fillId="0" borderId="1" xfId="1" applyFont="1" applyFill="1" applyBorder="1" applyAlignment="1">
      <alignment horizontal="center" vertical="center" shrinkToFit="1"/>
    </xf>
    <xf numFmtId="0" fontId="2" fillId="0" borderId="2" xfId="1" applyFont="1" applyFill="1" applyBorder="1" applyAlignment="1">
      <alignment horizontal="center" vertical="center" shrinkToFit="1"/>
    </xf>
    <xf numFmtId="0" fontId="2" fillId="0" borderId="4" xfId="1" applyFont="1" applyFill="1" applyBorder="1" applyAlignment="1">
      <alignment horizontal="center" vertical="center" shrinkToFit="1"/>
    </xf>
    <xf numFmtId="0" fontId="2" fillId="0" borderId="2" xfId="1" applyFont="1" applyFill="1" applyBorder="1" applyAlignment="1">
      <alignment horizontal="center" vertical="center" wrapText="1" shrinkToFit="1"/>
    </xf>
    <xf numFmtId="0" fontId="2" fillId="0" borderId="4" xfId="1" applyFont="1" applyFill="1" applyBorder="1" applyAlignment="1">
      <alignment horizontal="center" vertical="center" wrapText="1" shrinkToFit="1"/>
    </xf>
    <xf numFmtId="0" fontId="2" fillId="0" borderId="3" xfId="1" applyFont="1" applyFill="1" applyBorder="1" applyAlignment="1">
      <alignment horizontal="center" vertical="center" wrapText="1" shrinkToFit="1"/>
    </xf>
    <xf numFmtId="0" fontId="2" fillId="0" borderId="5" xfId="1" applyFont="1" applyFill="1" applyBorder="1" applyAlignment="1">
      <alignment horizontal="center" vertical="center" wrapText="1" shrinkToFit="1"/>
    </xf>
    <xf numFmtId="0" fontId="2" fillId="0" borderId="0" xfId="1" applyFont="1" applyFill="1" applyBorder="1" applyAlignment="1">
      <alignment horizontal="center" vertical="center" wrapText="1" shrinkToFit="1"/>
    </xf>
    <xf numFmtId="0" fontId="2" fillId="0" borderId="1" xfId="1" applyFont="1" applyFill="1" applyBorder="1" applyAlignment="1">
      <alignment horizontal="center" vertical="center" wrapText="1" shrinkToFit="1"/>
    </xf>
    <xf numFmtId="0" fontId="2" fillId="0" borderId="6" xfId="1" applyFont="1" applyFill="1" applyBorder="1" applyAlignment="1">
      <alignment horizontal="center" vertical="center" wrapText="1" shrinkToFit="1"/>
    </xf>
    <xf numFmtId="0" fontId="2" fillId="0" borderId="7" xfId="1" applyFont="1" applyFill="1" applyBorder="1" applyAlignment="1">
      <alignment horizontal="center" vertical="center" wrapText="1" shrinkToFit="1"/>
    </xf>
    <xf numFmtId="0" fontId="2" fillId="0" borderId="8" xfId="1" applyFont="1" applyFill="1" applyBorder="1" applyAlignment="1">
      <alignment horizontal="center" vertical="center" wrapText="1" shrinkToFit="1"/>
    </xf>
    <xf numFmtId="0" fontId="4" fillId="0" borderId="2" xfId="1" applyNumberFormat="1" applyFont="1" applyFill="1" applyBorder="1" applyAlignment="1">
      <alignment horizontal="center" vertical="center" wrapText="1" shrinkToFit="1"/>
    </xf>
    <xf numFmtId="0" fontId="4" fillId="0" borderId="4" xfId="1" applyNumberFormat="1" applyFont="1" applyFill="1" applyBorder="1" applyAlignment="1">
      <alignment horizontal="center" vertical="center" wrapText="1" shrinkToFit="1"/>
    </xf>
    <xf numFmtId="0" fontId="4" fillId="0" borderId="3" xfId="1" applyNumberFormat="1" applyFont="1" applyFill="1" applyBorder="1" applyAlignment="1">
      <alignment horizontal="center" vertical="center" wrapText="1" shrinkToFit="1"/>
    </xf>
    <xf numFmtId="0" fontId="4" fillId="0" borderId="5" xfId="1" applyNumberFormat="1" applyFont="1" applyFill="1" applyBorder="1" applyAlignment="1">
      <alignment horizontal="center" vertical="center" wrapText="1" shrinkToFit="1"/>
    </xf>
    <xf numFmtId="0" fontId="4" fillId="0" borderId="0" xfId="1" applyNumberFormat="1" applyFont="1" applyFill="1" applyBorder="1" applyAlignment="1">
      <alignment horizontal="center" vertical="center" wrapText="1" shrinkToFit="1"/>
    </xf>
    <xf numFmtId="0" fontId="4" fillId="0" borderId="1" xfId="1" applyNumberFormat="1" applyFont="1" applyFill="1" applyBorder="1" applyAlignment="1">
      <alignment horizontal="center" vertical="center" wrapText="1" shrinkToFit="1"/>
    </xf>
    <xf numFmtId="0" fontId="4" fillId="0" borderId="6" xfId="1" applyNumberFormat="1" applyFont="1" applyFill="1" applyBorder="1" applyAlignment="1">
      <alignment horizontal="center" vertical="center" wrapText="1" shrinkToFit="1"/>
    </xf>
    <xf numFmtId="0" fontId="4" fillId="0" borderId="7" xfId="1" applyNumberFormat="1" applyFont="1" applyFill="1" applyBorder="1" applyAlignment="1">
      <alignment horizontal="center" vertical="center" wrapText="1" shrinkToFit="1"/>
    </xf>
    <xf numFmtId="0" fontId="4" fillId="0" borderId="8" xfId="1" applyNumberFormat="1" applyFont="1" applyFill="1" applyBorder="1" applyAlignment="1">
      <alignment horizontal="center" vertical="center" wrapText="1" shrinkToFit="1"/>
    </xf>
    <xf numFmtId="0" fontId="5" fillId="0" borderId="6" xfId="1" applyFont="1" applyFill="1" applyBorder="1" applyAlignment="1">
      <alignment horizontal="left" shrinkToFit="1"/>
    </xf>
    <xf numFmtId="0" fontId="5" fillId="0" borderId="7" xfId="1" applyFont="1" applyFill="1" applyBorder="1" applyAlignment="1">
      <alignment horizontal="left" shrinkToFit="1"/>
    </xf>
    <xf numFmtId="0" fontId="5" fillId="0" borderId="8" xfId="1" applyFont="1" applyFill="1" applyBorder="1" applyAlignment="1">
      <alignment horizontal="left" shrinkToFit="1"/>
    </xf>
    <xf numFmtId="0" fontId="2" fillId="0" borderId="3" xfId="1" applyFont="1" applyFill="1" applyBorder="1" applyAlignment="1">
      <alignment horizontal="center" vertical="center" shrinkToFit="1"/>
    </xf>
    <xf numFmtId="49" fontId="6" fillId="0" borderId="7" xfId="1" applyNumberFormat="1" applyFont="1" applyFill="1" applyBorder="1" applyAlignment="1">
      <alignment horizontal="left" vertical="center" shrinkToFit="1"/>
    </xf>
    <xf numFmtId="164" fontId="6" fillId="0" borderId="27" xfId="1" applyNumberFormat="1" applyFont="1" applyFill="1" applyBorder="1" applyAlignment="1">
      <alignment horizontal="center" vertical="center" shrinkToFit="1"/>
    </xf>
    <xf numFmtId="164" fontId="6" fillId="0" borderId="28" xfId="1" applyNumberFormat="1" applyFont="1" applyFill="1" applyBorder="1" applyAlignment="1">
      <alignment horizontal="center" vertical="center" shrinkToFit="1"/>
    </xf>
    <xf numFmtId="164" fontId="6" fillId="0" borderId="35" xfId="1" applyNumberFormat="1" applyFont="1" applyFill="1" applyBorder="1" applyAlignment="1">
      <alignment horizontal="center" vertical="center" shrinkToFit="1"/>
    </xf>
    <xf numFmtId="0" fontId="6" fillId="0" borderId="29" xfId="1" applyFont="1" applyFill="1" applyBorder="1" applyAlignment="1">
      <alignment horizontal="center" vertical="center" shrinkToFit="1"/>
    </xf>
    <xf numFmtId="0" fontId="6" fillId="0" borderId="30" xfId="1" applyFont="1" applyFill="1" applyBorder="1" applyAlignment="1">
      <alignment horizontal="center" vertical="center" shrinkToFit="1"/>
    </xf>
    <xf numFmtId="0" fontId="6" fillId="0" borderId="34" xfId="1" applyFont="1" applyFill="1" applyBorder="1" applyAlignment="1">
      <alignment horizontal="center" vertical="center" shrinkToFit="1"/>
    </xf>
    <xf numFmtId="0" fontId="6" fillId="0" borderId="14" xfId="1" applyFont="1" applyFill="1" applyBorder="1" applyAlignment="1">
      <alignment horizontal="center" vertical="center" shrinkToFit="1"/>
    </xf>
    <xf numFmtId="166" fontId="6" fillId="0" borderId="15" xfId="1" applyNumberFormat="1" applyFont="1" applyFill="1" applyBorder="1" applyAlignment="1">
      <alignment horizontal="center" vertical="center" shrinkToFit="1"/>
    </xf>
    <xf numFmtId="166" fontId="6" fillId="0" borderId="17" xfId="1" applyNumberFormat="1" applyFont="1" applyFill="1" applyBorder="1" applyAlignment="1">
      <alignment horizontal="center" vertical="center" shrinkToFit="1"/>
    </xf>
    <xf numFmtId="166" fontId="6" fillId="0" borderId="16" xfId="1" applyNumberFormat="1" applyFont="1" applyFill="1" applyBorder="1" applyAlignment="1">
      <alignment horizontal="center" vertical="center" shrinkToFit="1"/>
    </xf>
    <xf numFmtId="0" fontId="2" fillId="0" borderId="30" xfId="1" applyFont="1" applyFill="1" applyBorder="1" applyAlignment="1">
      <alignment vertical="center" shrinkToFit="1"/>
    </xf>
    <xf numFmtId="0" fontId="7" fillId="0" borderId="17" xfId="1" applyFont="1" applyFill="1" applyBorder="1" applyAlignment="1">
      <alignment vertical="center" shrinkToFit="1"/>
    </xf>
    <xf numFmtId="0" fontId="7" fillId="0" borderId="16" xfId="1" applyFont="1" applyFill="1" applyBorder="1" applyAlignment="1">
      <alignment vertical="center" shrinkToFit="1"/>
    </xf>
    <xf numFmtId="0" fontId="7" fillId="0" borderId="30" xfId="1" applyFont="1" applyFill="1" applyBorder="1" applyAlignment="1">
      <alignment vertical="center" shrinkToFit="1"/>
    </xf>
    <xf numFmtId="0" fontId="7" fillId="0" borderId="34" xfId="1" applyFont="1" applyFill="1" applyBorder="1" applyAlignment="1">
      <alignment vertical="center" shrinkToFit="1"/>
    </xf>
    <xf numFmtId="3" fontId="6" fillId="0" borderId="28" xfId="1" applyNumberFormat="1" applyFont="1" applyFill="1" applyBorder="1" applyAlignment="1">
      <alignment horizontal="right" vertical="center" shrinkToFit="1"/>
    </xf>
    <xf numFmtId="0" fontId="7" fillId="0" borderId="17" xfId="1" applyFont="1" applyFill="1" applyBorder="1" applyAlignment="1">
      <alignment horizontal="center" vertical="center" shrinkToFit="1"/>
    </xf>
    <xf numFmtId="0" fontId="7" fillId="0" borderId="16" xfId="1" applyFont="1" applyFill="1" applyBorder="1" applyAlignment="1">
      <alignment horizontal="center" vertical="center" shrinkToFit="1"/>
    </xf>
    <xf numFmtId="0" fontId="2" fillId="0" borderId="27" xfId="1" applyFont="1" applyFill="1" applyBorder="1" applyAlignment="1">
      <alignment vertical="center" shrinkToFit="1"/>
    </xf>
    <xf numFmtId="0" fontId="2" fillId="0" borderId="28" xfId="1" applyFont="1" applyFill="1" applyBorder="1" applyAlignment="1">
      <alignment vertical="center" shrinkToFit="1"/>
    </xf>
    <xf numFmtId="0" fontId="7" fillId="0" borderId="28" xfId="1" applyFont="1" applyFill="1" applyBorder="1" applyAlignment="1">
      <alignment horizontal="center" vertical="center" shrinkToFit="1"/>
    </xf>
    <xf numFmtId="0" fontId="7" fillId="0" borderId="35" xfId="1" applyFont="1" applyFill="1" applyBorder="1" applyAlignment="1">
      <alignment horizontal="center" vertical="center" shrinkToFit="1"/>
    </xf>
    <xf numFmtId="0" fontId="6" fillId="0" borderId="12" xfId="1" applyFont="1" applyFill="1" applyBorder="1" applyAlignment="1">
      <alignment horizontal="center" vertical="center" shrinkToFit="1"/>
    </xf>
    <xf numFmtId="0" fontId="6" fillId="0" borderId="14" xfId="1" quotePrefix="1" applyFont="1" applyFill="1" applyBorder="1" applyAlignment="1">
      <alignment horizontal="center" vertical="center" shrinkToFit="1"/>
    </xf>
    <xf numFmtId="0" fontId="7" fillId="0" borderId="14" xfId="1" applyFont="1" applyFill="1" applyBorder="1" applyAlignment="1">
      <alignment horizontal="center" vertical="center" shrinkToFit="1"/>
    </xf>
    <xf numFmtId="0" fontId="7" fillId="0" borderId="13" xfId="1" applyFont="1" applyFill="1" applyBorder="1" applyAlignment="1">
      <alignment horizontal="center" vertical="center" shrinkToFit="1"/>
    </xf>
    <xf numFmtId="0" fontId="2" fillId="0" borderId="5" xfId="1" applyFont="1" applyBorder="1" applyAlignment="1">
      <alignment horizontal="right" vertical="center" shrinkToFit="1"/>
    </xf>
    <xf numFmtId="0" fontId="2" fillId="0" borderId="1" xfId="1" applyFont="1" applyBorder="1" applyAlignment="1">
      <alignment horizontal="right" vertical="center" shrinkToFit="1"/>
    </xf>
    <xf numFmtId="0" fontId="2" fillId="0" borderId="29" xfId="1" applyFont="1" applyFill="1" applyBorder="1" applyAlignment="1">
      <alignment horizontal="left" vertical="center" wrapText="1" shrinkToFit="1"/>
    </xf>
    <xf numFmtId="0" fontId="2" fillId="0" borderId="30" xfId="1" applyFont="1" applyFill="1" applyBorder="1" applyAlignment="1">
      <alignment horizontal="left" vertical="center" wrapText="1" shrinkToFit="1"/>
    </xf>
    <xf numFmtId="0" fontId="2" fillId="0" borderId="31" xfId="1" applyFont="1" applyFill="1" applyBorder="1" applyAlignment="1">
      <alignment horizontal="left" vertical="center" wrapText="1" shrinkToFit="1"/>
    </xf>
    <xf numFmtId="0" fontId="2" fillId="0" borderId="5" xfId="1" applyFont="1" applyFill="1" applyBorder="1" applyAlignment="1">
      <alignment horizontal="left" vertical="center" wrapText="1" shrinkToFit="1"/>
    </xf>
    <xf numFmtId="0" fontId="2" fillId="0" borderId="0" xfId="1" applyFont="1" applyFill="1" applyBorder="1" applyAlignment="1">
      <alignment horizontal="left" vertical="center" wrapText="1" shrinkToFit="1"/>
    </xf>
    <xf numFmtId="0" fontId="2" fillId="0" borderId="32" xfId="1" applyFont="1" applyFill="1" applyBorder="1" applyAlignment="1">
      <alignment horizontal="left" vertical="center" wrapText="1" shrinkToFit="1"/>
    </xf>
    <xf numFmtId="0" fontId="2" fillId="0" borderId="6" xfId="1" applyFont="1" applyFill="1" applyBorder="1" applyAlignment="1">
      <alignment horizontal="left" vertical="center" wrapText="1" shrinkToFit="1"/>
    </xf>
    <xf numFmtId="0" fontId="2" fillId="0" borderId="7" xfId="1" applyFont="1" applyFill="1" applyBorder="1" applyAlignment="1">
      <alignment horizontal="left" vertical="center" wrapText="1" shrinkToFit="1"/>
    </xf>
    <xf numFmtId="0" fontId="2" fillId="0" borderId="33" xfId="1" applyFont="1" applyFill="1" applyBorder="1" applyAlignment="1">
      <alignment horizontal="left" vertical="center" wrapText="1" shrinkToFit="1"/>
    </xf>
    <xf numFmtId="4" fontId="6" fillId="0" borderId="12" xfId="1" applyNumberFormat="1" applyFont="1" applyFill="1" applyBorder="1" applyAlignment="1">
      <alignment horizontal="center" vertical="center" shrinkToFit="1"/>
    </xf>
    <xf numFmtId="0" fontId="2" fillId="0" borderId="25" xfId="1" applyFont="1" applyFill="1" applyBorder="1" applyAlignment="1">
      <alignment vertical="center" shrinkToFit="1"/>
    </xf>
    <xf numFmtId="0" fontId="2" fillId="0" borderId="9" xfId="1" applyFont="1" applyFill="1" applyBorder="1" applyAlignment="1">
      <alignment horizontal="center" vertical="center" shrinkToFit="1"/>
    </xf>
    <xf numFmtId="0" fontId="2" fillId="0" borderId="10" xfId="1" applyFont="1" applyFill="1" applyBorder="1" applyAlignment="1">
      <alignment horizontal="center" vertical="center" shrinkToFit="1"/>
    </xf>
    <xf numFmtId="0" fontId="2" fillId="0" borderId="11" xfId="1" applyFont="1" applyFill="1" applyBorder="1" applyAlignment="1">
      <alignment horizontal="center" vertical="center" shrinkToFit="1"/>
    </xf>
    <xf numFmtId="0" fontId="2" fillId="0" borderId="7" xfId="1" applyFont="1" applyFill="1" applyBorder="1" applyAlignment="1">
      <alignment horizontal="center" vertical="center" shrinkToFit="1"/>
    </xf>
    <xf numFmtId="0" fontId="6" fillId="0" borderId="21" xfId="1" applyFont="1" applyFill="1" applyBorder="1" applyAlignment="1">
      <alignment horizontal="left" vertical="center" shrinkToFit="1"/>
    </xf>
    <xf numFmtId="0" fontId="2" fillId="0" borderId="12" xfId="1" applyFont="1" applyFill="1" applyBorder="1" applyAlignment="1">
      <alignment horizontal="left" vertical="center" shrinkToFit="1"/>
    </xf>
    <xf numFmtId="0" fontId="2" fillId="0" borderId="14" xfId="1" applyFont="1" applyFill="1" applyBorder="1" applyAlignment="1">
      <alignment horizontal="left" vertical="center" shrinkToFit="1"/>
    </xf>
    <xf numFmtId="0" fontId="7" fillId="0" borderId="36" xfId="1" applyFont="1" applyFill="1" applyBorder="1" applyAlignment="1">
      <alignment horizontal="left" vertical="center" shrinkToFit="1"/>
    </xf>
    <xf numFmtId="49" fontId="6" fillId="0" borderId="7" xfId="1" applyNumberFormat="1" applyFont="1" applyFill="1" applyBorder="1" applyAlignment="1">
      <alignment vertical="center" shrinkToFit="1"/>
    </xf>
    <xf numFmtId="49" fontId="6" fillId="0" borderId="8" xfId="1" applyNumberFormat="1" applyFont="1" applyFill="1" applyBorder="1" applyAlignment="1">
      <alignment vertical="center" shrinkToFit="1"/>
    </xf>
    <xf numFmtId="0" fontId="6" fillId="0" borderId="4" xfId="1" applyFont="1" applyFill="1" applyBorder="1" applyAlignment="1">
      <alignment horizontal="center" vertical="center" shrinkToFit="1"/>
    </xf>
    <xf numFmtId="0" fontId="6" fillId="0" borderId="3" xfId="1" applyFont="1" applyFill="1" applyBorder="1" applyAlignment="1">
      <alignment horizontal="center" vertical="center" shrinkToFit="1"/>
    </xf>
    <xf numFmtId="0" fontId="2" fillId="0" borderId="9" xfId="1" applyFont="1" applyFill="1" applyBorder="1" applyAlignment="1">
      <alignment vertical="center" shrinkToFit="1"/>
    </xf>
    <xf numFmtId="0" fontId="2" fillId="0" borderId="10" xfId="1" applyFont="1" applyFill="1" applyBorder="1" applyAlignment="1">
      <alignment vertical="center" shrinkToFit="1"/>
    </xf>
    <xf numFmtId="0" fontId="2" fillId="0" borderId="7" xfId="1" applyFont="1" applyFill="1" applyBorder="1" applyAlignment="1">
      <alignment vertical="center" shrinkToFit="1"/>
    </xf>
    <xf numFmtId="0" fontId="6" fillId="0" borderId="13" xfId="1" applyFont="1" applyFill="1" applyBorder="1" applyAlignment="1">
      <alignment horizontal="center" vertical="center" shrinkToFit="1"/>
    </xf>
    <xf numFmtId="0" fontId="6" fillId="0" borderId="18" xfId="1" applyFont="1" applyFill="1" applyBorder="1" applyAlignment="1">
      <alignment horizontal="left" vertical="center" shrinkToFit="1"/>
    </xf>
    <xf numFmtId="0" fontId="6" fillId="0" borderId="19" xfId="1" applyFont="1" applyFill="1" applyBorder="1" applyAlignment="1">
      <alignment horizontal="left" vertical="center" shrinkToFit="1"/>
    </xf>
    <xf numFmtId="0" fontId="6" fillId="0" borderId="20" xfId="1" applyFont="1" applyFill="1" applyBorder="1" applyAlignment="1">
      <alignment horizontal="left" vertical="center" shrinkToFit="1"/>
    </xf>
    <xf numFmtId="0" fontId="6" fillId="0" borderId="15" xfId="1" applyFont="1" applyBorder="1" applyAlignment="1">
      <alignment horizontal="center" vertical="center" shrinkToFit="1"/>
    </xf>
    <xf numFmtId="0" fontId="6" fillId="0" borderId="16" xfId="1" applyFont="1" applyBorder="1" applyAlignment="1">
      <alignment horizontal="center" vertical="center" shrinkToFit="1"/>
    </xf>
    <xf numFmtId="0" fontId="6" fillId="0" borderId="14" xfId="1" applyFont="1" applyFill="1" applyBorder="1" applyAlignment="1">
      <alignment horizontal="left" vertical="center" shrinkToFit="1"/>
    </xf>
    <xf numFmtId="0" fontId="6" fillId="0" borderId="13" xfId="1" applyFont="1" applyFill="1" applyBorder="1" applyAlignment="1">
      <alignment horizontal="left" vertical="center" shrinkToFit="1"/>
    </xf>
    <xf numFmtId="0" fontId="2" fillId="0" borderId="9" xfId="1" applyFont="1" applyBorder="1" applyAlignment="1">
      <alignment horizontal="center" vertical="center" shrinkToFit="1"/>
    </xf>
    <xf numFmtId="0" fontId="2" fillId="0" borderId="10" xfId="1" applyFont="1" applyBorder="1" applyAlignment="1">
      <alignment horizontal="center" vertical="center" shrinkToFit="1"/>
    </xf>
    <xf numFmtId="0" fontId="2" fillId="0" borderId="11" xfId="1" applyFont="1" applyBorder="1" applyAlignment="1">
      <alignment horizontal="center" vertical="center" shrinkToFit="1"/>
    </xf>
    <xf numFmtId="0" fontId="2" fillId="0" borderId="5" xfId="1" applyFont="1" applyFill="1" applyBorder="1" applyAlignment="1">
      <alignment horizontal="center" vertical="center" shrinkToFit="1"/>
    </xf>
    <xf numFmtId="0" fontId="2" fillId="0" borderId="0" xfId="1" applyFont="1" applyFill="1" applyBorder="1" applyAlignment="1">
      <alignment horizontal="center" vertical="center" shrinkToFit="1"/>
    </xf>
    <xf numFmtId="0" fontId="2" fillId="0" borderId="1" xfId="1" applyFont="1" applyFill="1" applyBorder="1" applyAlignment="1">
      <alignment horizontal="center" vertical="center" shrinkToFit="1"/>
    </xf>
    <xf numFmtId="0" fontId="2" fillId="0" borderId="6" xfId="1" applyFont="1" applyFill="1" applyBorder="1" applyAlignment="1">
      <alignment horizontal="center" vertical="center" shrinkToFit="1"/>
    </xf>
    <xf numFmtId="0" fontId="2" fillId="0" borderId="8" xfId="1" applyFont="1" applyFill="1" applyBorder="1" applyAlignment="1">
      <alignment horizontal="center" vertical="center" shrinkToFit="1"/>
    </xf>
    <xf numFmtId="0" fontId="7" fillId="0" borderId="14" xfId="1" applyFont="1" applyFill="1" applyBorder="1" applyAlignment="1">
      <alignment vertical="center" shrinkToFit="1"/>
    </xf>
    <xf numFmtId="0" fontId="7" fillId="0" borderId="13" xfId="1" applyFont="1" applyFill="1" applyBorder="1" applyAlignment="1">
      <alignment vertical="center" shrinkToFit="1"/>
    </xf>
    <xf numFmtId="0" fontId="6" fillId="0" borderId="20" xfId="1" applyFont="1" applyFill="1" applyBorder="1" applyAlignment="1">
      <alignment horizontal="center" vertical="center" shrinkToFit="1"/>
    </xf>
    <xf numFmtId="0" fontId="2" fillId="0" borderId="13" xfId="1" applyFont="1" applyFill="1" applyBorder="1" applyAlignment="1">
      <alignment vertical="center" shrinkToFit="1"/>
    </xf>
    <xf numFmtId="0" fontId="6" fillId="0" borderId="17" xfId="1" applyFont="1" applyFill="1" applyBorder="1" applyAlignment="1">
      <alignment horizontal="right" vertical="center" shrinkToFit="1"/>
    </xf>
    <xf numFmtId="0" fontId="6" fillId="0" borderId="15" xfId="1" applyFont="1" applyBorder="1" applyAlignment="1">
      <alignment horizontal="left" vertical="center" shrinkToFit="1"/>
    </xf>
    <xf numFmtId="0" fontId="6" fillId="0" borderId="17" xfId="1" applyFont="1" applyBorder="1" applyAlignment="1">
      <alignment horizontal="left" vertical="center" shrinkToFit="1"/>
    </xf>
    <xf numFmtId="0" fontId="6" fillId="0" borderId="16" xfId="1" applyFont="1" applyBorder="1" applyAlignment="1">
      <alignment horizontal="left" vertical="center" shrinkToFit="1"/>
    </xf>
    <xf numFmtId="0" fontId="6" fillId="0" borderId="18" xfId="1" applyFont="1" applyBorder="1" applyAlignment="1">
      <alignment horizontal="left" vertical="center" shrinkToFit="1"/>
    </xf>
    <xf numFmtId="0" fontId="6" fillId="0" borderId="19" xfId="1" applyFont="1" applyBorder="1" applyAlignment="1">
      <alignment horizontal="left" vertical="center" shrinkToFit="1"/>
    </xf>
    <xf numFmtId="0" fontId="6" fillId="0" borderId="20" xfId="1" applyFont="1" applyBorder="1" applyAlignment="1">
      <alignment horizontal="left" vertical="center" shrinkToFit="1"/>
    </xf>
    <xf numFmtId="0" fontId="6" fillId="0" borderId="18" xfId="1" applyFont="1" applyBorder="1" applyAlignment="1">
      <alignment horizontal="center" vertical="center" shrinkToFit="1"/>
    </xf>
    <xf numFmtId="0" fontId="6" fillId="0" borderId="20" xfId="1" applyFont="1" applyBorder="1" applyAlignment="1">
      <alignment horizontal="center" vertical="center" shrinkToFit="1"/>
    </xf>
    <xf numFmtId="0" fontId="6" fillId="0" borderId="12" xfId="1" applyFont="1" applyBorder="1" applyAlignment="1">
      <alignment horizontal="center" vertical="center" shrinkToFit="1"/>
    </xf>
    <xf numFmtId="0" fontId="6" fillId="0" borderId="13" xfId="1" applyFont="1" applyBorder="1" applyAlignment="1">
      <alignment horizontal="center" vertical="center" shrinkToFit="1"/>
    </xf>
    <xf numFmtId="0" fontId="6" fillId="0" borderId="12" xfId="1" applyFont="1" applyBorder="1" applyAlignment="1">
      <alignment horizontal="left" vertical="center" shrinkToFit="1"/>
    </xf>
    <xf numFmtId="0" fontId="6" fillId="0" borderId="14" xfId="1" applyFont="1" applyBorder="1" applyAlignment="1">
      <alignment horizontal="left" vertical="center" shrinkToFit="1"/>
    </xf>
    <xf numFmtId="0" fontId="6" fillId="0" borderId="13" xfId="1" applyFont="1" applyBorder="1" applyAlignment="1">
      <alignment horizontal="left" vertical="center" shrinkToFit="1"/>
    </xf>
    <xf numFmtId="15" fontId="6" fillId="0" borderId="12" xfId="1" applyNumberFormat="1" applyFont="1" applyBorder="1" applyAlignment="1">
      <alignment horizontal="center" vertical="center" shrinkToFit="1"/>
    </xf>
    <xf numFmtId="15" fontId="6" fillId="0" borderId="14" xfId="1" applyNumberFormat="1" applyFont="1" applyBorder="1" applyAlignment="1">
      <alignment horizontal="center" vertical="center" shrinkToFit="1"/>
    </xf>
    <xf numFmtId="15" fontId="6" fillId="0" borderId="13" xfId="1" applyNumberFormat="1" applyFont="1" applyBorder="1" applyAlignment="1">
      <alignment horizontal="center" vertical="center" shrinkToFit="1"/>
    </xf>
    <xf numFmtId="0" fontId="6" fillId="0" borderId="14" xfId="1" applyFont="1" applyBorder="1" applyAlignment="1">
      <alignment horizontal="center" vertical="center" shrinkToFit="1"/>
    </xf>
    <xf numFmtId="0" fontId="2" fillId="0" borderId="7" xfId="1" applyFont="1" applyBorder="1" applyAlignment="1">
      <alignment horizontal="center" vertical="center" shrinkToFit="1"/>
    </xf>
    <xf numFmtId="0" fontId="6" fillId="0" borderId="17" xfId="1" applyFont="1" applyBorder="1" applyAlignment="1">
      <alignment horizontal="center" vertical="center" shrinkToFit="1"/>
    </xf>
    <xf numFmtId="15" fontId="6" fillId="0" borderId="15" xfId="1" applyNumberFormat="1" applyFont="1" applyBorder="1" applyAlignment="1">
      <alignment horizontal="center" vertical="center" shrinkToFit="1"/>
    </xf>
    <xf numFmtId="15" fontId="6" fillId="0" borderId="17" xfId="1" applyNumberFormat="1" applyFont="1" applyBorder="1" applyAlignment="1">
      <alignment horizontal="center" vertical="center" shrinkToFit="1"/>
    </xf>
    <xf numFmtId="15" fontId="6" fillId="0" borderId="16" xfId="1" applyNumberFormat="1" applyFont="1" applyBorder="1" applyAlignment="1">
      <alignment horizontal="center" vertical="center" shrinkToFit="1"/>
    </xf>
    <xf numFmtId="0" fontId="6" fillId="0" borderId="19" xfId="1" applyFont="1" applyBorder="1" applyAlignment="1">
      <alignment horizontal="center" vertical="center" shrinkToFit="1"/>
    </xf>
    <xf numFmtId="15" fontId="6" fillId="0" borderId="18" xfId="1" applyNumberFormat="1" applyFont="1" applyBorder="1" applyAlignment="1">
      <alignment horizontal="center" vertical="center" shrinkToFit="1"/>
    </xf>
    <xf numFmtId="15" fontId="6" fillId="0" borderId="19" xfId="1" applyNumberFormat="1" applyFont="1" applyBorder="1" applyAlignment="1">
      <alignment horizontal="center" vertical="center" shrinkToFit="1"/>
    </xf>
    <xf numFmtId="15" fontId="6" fillId="0" borderId="20" xfId="1" applyNumberFormat="1" applyFont="1" applyBorder="1" applyAlignment="1">
      <alignment horizontal="center" vertical="center" shrinkToFit="1"/>
    </xf>
    <xf numFmtId="164" fontId="6" fillId="0" borderId="18" xfId="1" applyNumberFormat="1" applyFont="1" applyFill="1" applyBorder="1" applyAlignment="1">
      <alignment horizontal="center" vertical="center" shrinkToFit="1"/>
    </xf>
    <xf numFmtId="164" fontId="6" fillId="0" borderId="19" xfId="1" applyNumberFormat="1" applyFont="1" applyFill="1" applyBorder="1" applyAlignment="1">
      <alignment horizontal="center" vertical="center" shrinkToFit="1"/>
    </xf>
    <xf numFmtId="164" fontId="6" fillId="0" borderId="20" xfId="1" applyNumberFormat="1" applyFont="1" applyFill="1" applyBorder="1" applyAlignment="1">
      <alignment horizontal="center" vertical="center" shrinkToFit="1"/>
    </xf>
    <xf numFmtId="164" fontId="6" fillId="0" borderId="15" xfId="1" applyNumberFormat="1" applyFont="1" applyFill="1" applyBorder="1" applyAlignment="1">
      <alignment horizontal="center" vertical="center" shrinkToFit="1"/>
    </xf>
    <xf numFmtId="164" fontId="6" fillId="0" borderId="17" xfId="1" quotePrefix="1" applyNumberFormat="1" applyFont="1" applyFill="1" applyBorder="1" applyAlignment="1">
      <alignment horizontal="center" vertical="center" shrinkToFit="1"/>
    </xf>
    <xf numFmtId="0" fontId="6" fillId="0" borderId="10" xfId="1" applyFont="1" applyFill="1" applyBorder="1" applyAlignment="1">
      <alignment vertical="center" shrinkToFit="1"/>
    </xf>
    <xf numFmtId="0" fontId="6" fillId="0" borderId="11" xfId="1" applyFont="1" applyFill="1" applyBorder="1" applyAlignment="1">
      <alignment vertical="center" shrinkToFit="1"/>
    </xf>
    <xf numFmtId="164" fontId="6" fillId="0" borderId="15" xfId="1" quotePrefix="1" applyNumberFormat="1" applyFont="1" applyFill="1" applyBorder="1" applyAlignment="1">
      <alignment horizontal="center" vertical="center" shrinkToFit="1"/>
    </xf>
    <xf numFmtId="164" fontId="6" fillId="0" borderId="9" xfId="1" applyNumberFormat="1" applyFont="1" applyFill="1" applyBorder="1" applyAlignment="1">
      <alignment horizontal="center" vertical="center" shrinkToFit="1"/>
    </xf>
    <xf numFmtId="164" fontId="6" fillId="0" borderId="10" xfId="1" applyNumberFormat="1" applyFont="1" applyFill="1" applyBorder="1" applyAlignment="1">
      <alignment horizontal="center" vertical="center" shrinkToFit="1"/>
    </xf>
    <xf numFmtId="164" fontId="6" fillId="0" borderId="11" xfId="1" applyNumberFormat="1" applyFont="1" applyFill="1" applyBorder="1" applyAlignment="1">
      <alignment horizontal="center" vertical="center" shrinkToFit="1"/>
    </xf>
    <xf numFmtId="0" fontId="6" fillId="0" borderId="10" xfId="1" applyFont="1" applyFill="1" applyBorder="1" applyAlignment="1">
      <alignment horizontal="right" vertical="center" shrinkToFit="1"/>
    </xf>
    <xf numFmtId="0" fontId="6" fillId="0" borderId="7" xfId="1" applyFont="1" applyFill="1" applyBorder="1" applyAlignment="1">
      <alignment horizontal="center" vertical="center" shrinkToFit="1"/>
    </xf>
    <xf numFmtId="0" fontId="2" fillId="0" borderId="7" xfId="1" applyFont="1" applyFill="1" applyBorder="1" applyAlignment="1">
      <alignment horizontal="right" vertical="center" shrinkToFit="1"/>
    </xf>
    <xf numFmtId="0" fontId="6" fillId="0" borderId="10" xfId="1" applyFont="1" applyFill="1" applyBorder="1" applyAlignment="1">
      <alignment horizontal="left" vertical="center" shrinkToFit="1"/>
    </xf>
    <xf numFmtId="0" fontId="6" fillId="0" borderId="11" xfId="1" applyFont="1" applyFill="1" applyBorder="1" applyAlignment="1">
      <alignment horizontal="left" vertical="center" shrinkToFit="1"/>
    </xf>
    <xf numFmtId="0" fontId="6" fillId="0" borderId="21" xfId="1" applyFont="1" applyFill="1" applyBorder="1" applyAlignment="1">
      <alignment horizontal="center" vertical="center" shrinkToFit="1"/>
    </xf>
    <xf numFmtId="0" fontId="2" fillId="0" borderId="23" xfId="1" applyFont="1" applyFill="1" applyBorder="1" applyAlignment="1">
      <alignment vertical="center" shrinkToFit="1"/>
    </xf>
    <xf numFmtId="0" fontId="2" fillId="0" borderId="22" xfId="1" applyFont="1" applyFill="1" applyBorder="1" applyAlignment="1">
      <alignment vertical="center" shrinkToFit="1"/>
    </xf>
    <xf numFmtId="164" fontId="6" fillId="0" borderId="17" xfId="1" applyNumberFormat="1" applyFont="1" applyFill="1" applyBorder="1" applyAlignment="1">
      <alignment horizontal="center" vertical="center" shrinkToFit="1"/>
    </xf>
    <xf numFmtId="164" fontId="6" fillId="0" borderId="16" xfId="1" applyNumberFormat="1" applyFont="1" applyFill="1" applyBorder="1" applyAlignment="1">
      <alignment horizontal="center" vertical="center" shrinkToFit="1"/>
    </xf>
    <xf numFmtId="164" fontId="6" fillId="0" borderId="12" xfId="1" applyNumberFormat="1" applyFont="1" applyFill="1" applyBorder="1" applyAlignment="1">
      <alignment horizontal="center" vertical="center" shrinkToFit="1"/>
    </xf>
    <xf numFmtId="164" fontId="6" fillId="0" borderId="14" xfId="1" applyNumberFormat="1" applyFont="1" applyFill="1" applyBorder="1" applyAlignment="1">
      <alignment horizontal="center" vertical="center" shrinkToFit="1"/>
    </xf>
    <xf numFmtId="164" fontId="6" fillId="0" borderId="13" xfId="1" applyNumberFormat="1" applyFont="1" applyFill="1" applyBorder="1" applyAlignment="1">
      <alignment horizontal="center" vertical="center" shrinkToFit="1"/>
    </xf>
    <xf numFmtId="49" fontId="6" fillId="0" borderId="7" xfId="1" applyNumberFormat="1" applyFont="1" applyFill="1" applyBorder="1" applyAlignment="1">
      <alignment horizontal="center" vertical="center" shrinkToFit="1"/>
    </xf>
    <xf numFmtId="49" fontId="6" fillId="0" borderId="8" xfId="1" applyNumberFormat="1" applyFont="1" applyFill="1" applyBorder="1" applyAlignment="1">
      <alignment horizontal="center" vertical="center" shrinkToFit="1"/>
    </xf>
    <xf numFmtId="0" fontId="6" fillId="0" borderId="6" xfId="1" applyFont="1" applyFill="1" applyBorder="1" applyAlignment="1">
      <alignment horizontal="center" vertical="center" shrinkToFit="1"/>
    </xf>
    <xf numFmtId="0" fontId="6" fillId="0" borderId="7" xfId="1" applyFont="1" applyFill="1" applyBorder="1" applyAlignment="1">
      <alignment horizontal="right" vertical="center" shrinkToFit="1"/>
    </xf>
    <xf numFmtId="0" fontId="6" fillId="0" borderId="9" xfId="1" applyFont="1" applyFill="1" applyBorder="1" applyAlignment="1">
      <alignment horizontal="center" vertical="center" shrinkToFit="1"/>
    </xf>
    <xf numFmtId="0" fontId="6" fillId="0" borderId="10" xfId="1" applyFont="1" applyFill="1" applyBorder="1" applyAlignment="1">
      <alignment horizontal="center" vertical="center" shrinkToFit="1"/>
    </xf>
  </cellXfs>
  <cellStyles count="2">
    <cellStyle name="Normal" xfId="0" builtinId="0"/>
    <cellStyle name="Normal 2" xfId="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_Documentos/_Projetos/Projeto%20FDB/02.Processo/01.Em%20Elabora&#231;&#227;o/EXXI-045-10-05-PR-DAS-0014_Data%20Sheet.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S"/>
      <sheetName val="UOM"/>
    </sheetNames>
    <sheetDataSet>
      <sheetData sheetId="0"/>
      <sheetData sheetId="1">
        <row r="1">
          <cell r="B1" t="str">
            <v>m²</v>
          </cell>
        </row>
        <row r="27">
          <cell r="B27" t="str">
            <v>mm</v>
          </cell>
        </row>
        <row r="28">
          <cell r="B28" t="str">
            <v>mm</v>
          </cell>
        </row>
        <row r="29">
          <cell r="B29" t="str">
            <v>mm</v>
          </cell>
        </row>
        <row r="30">
          <cell r="B30" t="str">
            <v>kgf</v>
          </cell>
        </row>
      </sheetData>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Plan1">
    <pageSetUpPr fitToPage="1"/>
  </sheetPr>
  <dimension ref="A1:BO68"/>
  <sheetViews>
    <sheetView tabSelected="1" zoomScale="85" zoomScaleNormal="85" workbookViewId="0">
      <selection activeCell="BS34" sqref="BS34"/>
    </sheetView>
  </sheetViews>
  <sheetFormatPr defaultColWidth="1.85546875" defaultRowHeight="12.2" customHeight="1"/>
  <cols>
    <col min="1" max="1" width="3.5703125" style="1" customWidth="1"/>
    <col min="2" max="3" width="1.140625" style="3" customWidth="1"/>
    <col min="4" max="5" width="1.42578125" style="3" customWidth="1"/>
    <col min="6" max="52" width="1.85546875" style="2" customWidth="1"/>
    <col min="53" max="53" width="3.28515625" style="2" customWidth="1"/>
    <col min="54" max="62" width="1.85546875" style="1"/>
    <col min="63" max="63" width="1.85546875" style="1" customWidth="1"/>
    <col min="64" max="64" width="1.7109375" style="1" customWidth="1"/>
    <col min="65" max="68" width="1.85546875" style="1"/>
    <col min="69" max="69" width="2" style="1" bestFit="1" customWidth="1"/>
    <col min="70" max="71" width="1.85546875" style="1"/>
    <col min="72" max="72" width="2" style="1" customWidth="1"/>
    <col min="73" max="16384" width="1.85546875" style="1"/>
  </cols>
  <sheetData>
    <row r="1" spans="1:67" ht="23.45" customHeight="1">
      <c r="A1" s="32" t="s">
        <v>0</v>
      </c>
      <c r="B1" s="75" t="s">
        <v>1</v>
      </c>
      <c r="C1" s="76"/>
      <c r="D1" s="77" t="s">
        <v>1</v>
      </c>
      <c r="E1" s="78"/>
      <c r="F1" s="78"/>
      <c r="G1" s="78"/>
      <c r="H1" s="78"/>
      <c r="I1" s="78"/>
      <c r="J1" s="78"/>
      <c r="K1" s="78"/>
      <c r="L1" s="78"/>
      <c r="M1" s="78"/>
      <c r="N1" s="78"/>
      <c r="O1" s="78"/>
      <c r="P1" s="78"/>
      <c r="Q1" s="78"/>
      <c r="R1" s="78"/>
      <c r="S1" s="78"/>
      <c r="T1" s="78"/>
      <c r="U1" s="78"/>
      <c r="V1" s="78"/>
      <c r="W1" s="78"/>
      <c r="X1" s="78"/>
      <c r="Y1" s="78"/>
      <c r="Z1" s="78"/>
      <c r="AA1" s="79"/>
      <c r="AB1" s="94"/>
      <c r="AC1" s="95"/>
      <c r="AD1" s="95"/>
      <c r="AE1" s="95"/>
      <c r="AF1" s="95"/>
      <c r="AG1" s="95"/>
      <c r="AH1" s="95"/>
      <c r="AI1" s="95"/>
      <c r="AJ1" s="95"/>
      <c r="AK1" s="95"/>
      <c r="AL1" s="95"/>
      <c r="AM1" s="95"/>
      <c r="AN1" s="95"/>
      <c r="AO1" s="95"/>
      <c r="AP1" s="95"/>
      <c r="AQ1" s="95"/>
      <c r="AR1" s="95"/>
      <c r="AS1" s="95"/>
      <c r="AT1" s="95"/>
      <c r="AU1" s="95"/>
      <c r="AV1" s="95"/>
      <c r="AW1" s="95"/>
      <c r="AX1" s="95"/>
      <c r="AY1" s="95"/>
      <c r="AZ1" s="95"/>
      <c r="BA1" s="96"/>
      <c r="BB1" s="13"/>
      <c r="BC1" s="13"/>
      <c r="BD1" s="13"/>
      <c r="BE1" s="13"/>
      <c r="BF1" s="13"/>
      <c r="BG1" s="13"/>
      <c r="BH1" s="13"/>
      <c r="BI1" s="13"/>
      <c r="BJ1" s="13"/>
      <c r="BK1" s="13"/>
    </row>
    <row r="2" spans="1:67" ht="23.45" customHeight="1">
      <c r="A2" s="32"/>
      <c r="B2" s="25"/>
      <c r="C2" s="26"/>
      <c r="D2" s="80"/>
      <c r="E2" s="81"/>
      <c r="F2" s="81"/>
      <c r="G2" s="81"/>
      <c r="H2" s="81"/>
      <c r="I2" s="81"/>
      <c r="J2" s="81"/>
      <c r="K2" s="81"/>
      <c r="L2" s="81"/>
      <c r="M2" s="81"/>
      <c r="N2" s="81"/>
      <c r="O2" s="81"/>
      <c r="P2" s="81"/>
      <c r="Q2" s="81"/>
      <c r="R2" s="81"/>
      <c r="S2" s="81"/>
      <c r="T2" s="81"/>
      <c r="U2" s="81"/>
      <c r="V2" s="81"/>
      <c r="W2" s="81"/>
      <c r="X2" s="81"/>
      <c r="Y2" s="81"/>
      <c r="Z2" s="81"/>
      <c r="AA2" s="82"/>
      <c r="AB2" s="97"/>
      <c r="AC2" s="98"/>
      <c r="AD2" s="98"/>
      <c r="AE2" s="98"/>
      <c r="AF2" s="98"/>
      <c r="AG2" s="98"/>
      <c r="AH2" s="98"/>
      <c r="AI2" s="98"/>
      <c r="AJ2" s="98"/>
      <c r="AK2" s="98"/>
      <c r="AL2" s="98"/>
      <c r="AM2" s="98"/>
      <c r="AN2" s="98"/>
      <c r="AO2" s="98"/>
      <c r="AP2" s="98"/>
      <c r="AQ2" s="98"/>
      <c r="AR2" s="98"/>
      <c r="AS2" s="98"/>
      <c r="AT2" s="98"/>
      <c r="AU2" s="98"/>
      <c r="AV2" s="98"/>
      <c r="AW2" s="98"/>
      <c r="AX2" s="98"/>
      <c r="AY2" s="98"/>
      <c r="AZ2" s="98"/>
      <c r="BA2" s="99"/>
      <c r="BB2" s="13"/>
      <c r="BC2" s="13"/>
      <c r="BD2" s="13"/>
      <c r="BE2" s="13"/>
      <c r="BF2" s="13"/>
      <c r="BG2" s="13"/>
      <c r="BH2" s="13"/>
      <c r="BI2" s="13"/>
      <c r="BJ2" s="13"/>
      <c r="BK2" s="13"/>
    </row>
    <row r="3" spans="1:67" ht="11.45" customHeight="1">
      <c r="A3" s="32"/>
      <c r="B3" s="25"/>
      <c r="C3" s="26"/>
      <c r="D3" s="103"/>
      <c r="E3" s="104"/>
      <c r="F3" s="104"/>
      <c r="G3" s="104"/>
      <c r="H3" s="104"/>
      <c r="I3" s="104"/>
      <c r="J3" s="104"/>
      <c r="K3" s="104"/>
      <c r="L3" s="104"/>
      <c r="M3" s="104"/>
      <c r="N3" s="104"/>
      <c r="O3" s="104"/>
      <c r="P3" s="104"/>
      <c r="Q3" s="104"/>
      <c r="R3" s="104"/>
      <c r="S3" s="104"/>
      <c r="T3" s="104"/>
      <c r="U3" s="104"/>
      <c r="V3" s="104"/>
      <c r="W3" s="104"/>
      <c r="X3" s="104"/>
      <c r="Y3" s="104"/>
      <c r="Z3" s="104"/>
      <c r="AA3" s="105"/>
      <c r="AB3" s="100"/>
      <c r="AC3" s="101"/>
      <c r="AD3" s="101"/>
      <c r="AE3" s="101"/>
      <c r="AF3" s="101"/>
      <c r="AG3" s="101"/>
      <c r="AH3" s="101"/>
      <c r="AI3" s="101"/>
      <c r="AJ3" s="101"/>
      <c r="AK3" s="101"/>
      <c r="AL3" s="101"/>
      <c r="AM3" s="101"/>
      <c r="AN3" s="101"/>
      <c r="AO3" s="101"/>
      <c r="AP3" s="101"/>
      <c r="AQ3" s="101"/>
      <c r="AR3" s="101"/>
      <c r="AS3" s="101"/>
      <c r="AT3" s="101"/>
      <c r="AU3" s="101"/>
      <c r="AV3" s="101"/>
      <c r="AW3" s="101"/>
      <c r="AX3" s="101"/>
      <c r="AY3" s="101"/>
      <c r="AZ3" s="101"/>
      <c r="BA3" s="102"/>
      <c r="BB3" s="13"/>
      <c r="BC3" s="13"/>
      <c r="BD3" s="13"/>
      <c r="BE3" s="13"/>
      <c r="BF3" s="13"/>
      <c r="BG3" s="13"/>
      <c r="BH3" s="13"/>
      <c r="BI3" s="13"/>
      <c r="BJ3" s="13"/>
      <c r="BK3" s="13"/>
    </row>
    <row r="4" spans="1:67" ht="12.2" customHeight="1">
      <c r="A4" s="32"/>
      <c r="B4" s="25"/>
      <c r="C4" s="26"/>
      <c r="D4" s="85" t="s">
        <v>2</v>
      </c>
      <c r="E4" s="86"/>
      <c r="F4" s="86"/>
      <c r="G4" s="86"/>
      <c r="H4" s="86"/>
      <c r="I4" s="86"/>
      <c r="J4" s="86"/>
      <c r="K4" s="86"/>
      <c r="L4" s="86"/>
      <c r="M4" s="86"/>
      <c r="N4" s="86"/>
      <c r="O4" s="86"/>
      <c r="P4" s="86"/>
      <c r="Q4" s="86"/>
      <c r="R4" s="86"/>
      <c r="S4" s="86"/>
      <c r="T4" s="86"/>
      <c r="U4" s="86"/>
      <c r="V4" s="86"/>
      <c r="W4" s="86"/>
      <c r="X4" s="86"/>
      <c r="Y4" s="86"/>
      <c r="Z4" s="86"/>
      <c r="AA4" s="87"/>
      <c r="AB4" s="83"/>
      <c r="AC4" s="84"/>
      <c r="AD4" s="84"/>
      <c r="AE4" s="84"/>
      <c r="AF4" s="84"/>
      <c r="AG4" s="84"/>
      <c r="AH4" s="84"/>
      <c r="AI4" s="84"/>
      <c r="AJ4" s="84"/>
      <c r="AK4" s="84"/>
      <c r="AL4" s="84"/>
      <c r="AM4" s="84"/>
      <c r="AN4" s="84"/>
      <c r="AO4" s="84"/>
      <c r="AP4" s="84"/>
      <c r="AQ4" s="84"/>
      <c r="AR4" s="84"/>
      <c r="AS4" s="84"/>
      <c r="AT4" s="84"/>
      <c r="AU4" s="84"/>
      <c r="AV4" s="84"/>
      <c r="AW4" s="84"/>
      <c r="AX4" s="84"/>
      <c r="AY4" s="84"/>
      <c r="AZ4" s="84"/>
      <c r="BA4" s="106"/>
      <c r="BB4" s="14"/>
      <c r="BC4" s="13"/>
      <c r="BD4" s="13"/>
      <c r="BE4" s="13"/>
      <c r="BF4" s="13"/>
      <c r="BG4" s="13"/>
      <c r="BH4" s="13"/>
      <c r="BI4" s="13"/>
      <c r="BJ4" s="13"/>
      <c r="BK4" s="13"/>
      <c r="BL4" s="13"/>
      <c r="BM4" s="13"/>
      <c r="BN4" s="13"/>
      <c r="BO4" s="13"/>
    </row>
    <row r="5" spans="1:67" ht="12.2" customHeight="1">
      <c r="A5" s="32"/>
      <c r="B5" s="25"/>
      <c r="C5" s="26"/>
      <c r="D5" s="88"/>
      <c r="E5" s="89"/>
      <c r="F5" s="89"/>
      <c r="G5" s="89"/>
      <c r="H5" s="89"/>
      <c r="I5" s="89"/>
      <c r="J5" s="89"/>
      <c r="K5" s="89"/>
      <c r="L5" s="89"/>
      <c r="M5" s="89"/>
      <c r="N5" s="89"/>
      <c r="O5" s="89"/>
      <c r="P5" s="89"/>
      <c r="Q5" s="89"/>
      <c r="R5" s="89"/>
      <c r="S5" s="89"/>
      <c r="T5" s="89"/>
      <c r="U5" s="89"/>
      <c r="V5" s="89"/>
      <c r="W5" s="89"/>
      <c r="X5" s="89"/>
      <c r="Y5" s="89"/>
      <c r="Z5" s="89"/>
      <c r="AA5" s="90"/>
      <c r="AB5" s="235"/>
      <c r="AC5" s="221"/>
      <c r="AD5" s="221"/>
      <c r="AE5" s="221"/>
      <c r="AF5" s="221"/>
      <c r="AG5" s="221"/>
      <c r="AH5" s="221"/>
      <c r="AI5" s="221"/>
      <c r="AJ5" s="221"/>
      <c r="AK5" s="236"/>
      <c r="AL5" s="236"/>
      <c r="AM5" s="236"/>
      <c r="AN5" s="236"/>
      <c r="AO5" s="236"/>
      <c r="AP5" s="236"/>
      <c r="AQ5" s="236"/>
      <c r="AR5" s="107"/>
      <c r="AS5" s="107"/>
      <c r="AT5" s="107"/>
      <c r="AU5" s="107"/>
      <c r="AV5" s="107"/>
      <c r="AW5" s="107"/>
      <c r="AX5" s="107"/>
      <c r="AY5" s="233"/>
      <c r="AZ5" s="233"/>
      <c r="BA5" s="234"/>
      <c r="BB5" s="14"/>
      <c r="BC5" s="13"/>
      <c r="BD5" s="13"/>
      <c r="BE5" s="13"/>
      <c r="BF5" s="13"/>
      <c r="BG5" s="13"/>
      <c r="BH5" s="13"/>
      <c r="BI5" s="13"/>
      <c r="BJ5" s="13"/>
      <c r="BK5" s="13"/>
      <c r="BL5" s="13"/>
      <c r="BM5" s="13"/>
      <c r="BN5" s="13"/>
      <c r="BO5" s="13"/>
    </row>
    <row r="6" spans="1:67" s="9" customFormat="1" ht="12.2" customHeight="1">
      <c r="A6" s="32"/>
      <c r="B6" s="25"/>
      <c r="C6" s="26"/>
      <c r="D6" s="91"/>
      <c r="E6" s="92"/>
      <c r="F6" s="92"/>
      <c r="G6" s="92"/>
      <c r="H6" s="92"/>
      <c r="I6" s="92"/>
      <c r="J6" s="92"/>
      <c r="K6" s="92"/>
      <c r="L6" s="92"/>
      <c r="M6" s="92"/>
      <c r="N6" s="92"/>
      <c r="O6" s="92"/>
      <c r="P6" s="92"/>
      <c r="Q6" s="92"/>
      <c r="R6" s="92"/>
      <c r="S6" s="92"/>
      <c r="T6" s="92"/>
      <c r="U6" s="92"/>
      <c r="V6" s="92"/>
      <c r="W6" s="92"/>
      <c r="X6" s="92"/>
      <c r="Y6" s="92"/>
      <c r="Z6" s="92"/>
      <c r="AA6" s="93"/>
      <c r="AB6" s="237"/>
      <c r="AC6" s="238"/>
      <c r="AD6" s="238"/>
      <c r="AE6" s="238"/>
      <c r="AF6" s="238"/>
      <c r="AG6" s="238"/>
      <c r="AH6" s="238"/>
      <c r="AI6" s="238"/>
      <c r="AJ6" s="238"/>
      <c r="AK6" s="238"/>
      <c r="AL6" s="223"/>
      <c r="AM6" s="223"/>
      <c r="AN6" s="223"/>
      <c r="AO6" s="223"/>
      <c r="AP6" s="223"/>
      <c r="AQ6" s="223"/>
      <c r="AR6" s="223"/>
      <c r="AS6" s="223"/>
      <c r="AT6" s="223"/>
      <c r="AU6" s="223"/>
      <c r="AV6" s="223"/>
      <c r="AW6" s="223"/>
      <c r="AX6" s="223"/>
      <c r="AY6" s="223"/>
      <c r="AZ6" s="223"/>
      <c r="BA6" s="224"/>
      <c r="BB6" s="15"/>
      <c r="BC6" s="16"/>
      <c r="BD6" s="16"/>
      <c r="BE6" s="16"/>
      <c r="BF6" s="16"/>
      <c r="BG6" s="16"/>
      <c r="BH6" s="16"/>
      <c r="BI6" s="16"/>
      <c r="BJ6" s="16"/>
      <c r="BK6" s="16"/>
      <c r="BL6" s="16"/>
      <c r="BM6" s="16"/>
      <c r="BN6" s="16"/>
      <c r="BO6" s="16"/>
    </row>
    <row r="7" spans="1:67" ht="12.2" customHeight="1">
      <c r="A7" s="32"/>
      <c r="B7" s="66">
        <v>1</v>
      </c>
      <c r="C7" s="67"/>
      <c r="D7" s="130"/>
      <c r="E7" s="162"/>
      <c r="F7" s="152" t="s">
        <v>4</v>
      </c>
      <c r="G7" s="153"/>
      <c r="H7" s="153"/>
      <c r="I7" s="153"/>
      <c r="J7" s="153"/>
      <c r="K7" s="153"/>
      <c r="L7" s="153"/>
      <c r="M7" s="168" t="s">
        <v>5</v>
      </c>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9"/>
      <c r="AO7" s="62" t="s">
        <v>6</v>
      </c>
      <c r="AP7" s="63"/>
      <c r="AQ7" s="47" t="str">
        <f t="shared" ref="AQ7" si="0">dummy3dummyZNOME_ITEMdummy0</f>
        <v>10-HT-107</v>
      </c>
      <c r="AR7" s="47"/>
      <c r="AS7" s="47"/>
      <c r="AT7" s="47"/>
      <c r="AU7" s="47"/>
      <c r="AV7" s="47"/>
      <c r="AW7" s="47"/>
      <c r="AX7" s="47"/>
      <c r="AY7" s="47"/>
      <c r="AZ7" s="47"/>
      <c r="BA7" s="47"/>
      <c r="BB7" s="13"/>
      <c r="BC7" s="13"/>
      <c r="BD7" s="13"/>
      <c r="BE7" s="13"/>
      <c r="BF7" s="13"/>
      <c r="BG7" s="13"/>
      <c r="BH7" s="13"/>
      <c r="BI7" s="13"/>
      <c r="BJ7" s="13"/>
      <c r="BK7" s="13"/>
      <c r="BL7" s="13"/>
      <c r="BM7" s="13"/>
      <c r="BN7" s="13"/>
      <c r="BO7" s="13"/>
    </row>
    <row r="8" spans="1:67" ht="12.2" customHeight="1">
      <c r="A8" s="32"/>
      <c r="B8" s="66">
        <v>2</v>
      </c>
      <c r="C8" s="67"/>
      <c r="D8" s="22"/>
      <c r="E8" s="24"/>
      <c r="F8" s="33"/>
      <c r="G8" s="34"/>
      <c r="H8" s="34"/>
      <c r="I8" s="34"/>
      <c r="J8" s="34"/>
      <c r="K8" s="34"/>
      <c r="L8" s="34"/>
      <c r="M8" s="34"/>
      <c r="N8" s="34"/>
      <c r="O8" s="34"/>
      <c r="P8" s="34"/>
      <c r="Q8" s="34"/>
      <c r="R8" s="34"/>
      <c r="S8" s="34"/>
      <c r="T8" s="34"/>
      <c r="U8" s="34"/>
      <c r="V8" s="34"/>
      <c r="W8" s="34"/>
      <c r="X8" s="34"/>
      <c r="Y8" s="34"/>
      <c r="Z8" s="34"/>
      <c r="AA8" s="34"/>
      <c r="AB8" s="34"/>
      <c r="AC8" s="34"/>
      <c r="AD8" s="34"/>
      <c r="AE8" s="34"/>
      <c r="AF8" s="34"/>
      <c r="AG8" s="34"/>
      <c r="AH8" s="34"/>
      <c r="AI8" s="34"/>
      <c r="AJ8" s="34"/>
      <c r="AK8" s="34"/>
      <c r="AL8" s="34"/>
      <c r="AM8" s="34"/>
      <c r="AN8" s="35"/>
      <c r="AO8" s="61" t="s">
        <v>7</v>
      </c>
      <c r="AP8" s="39"/>
      <c r="AQ8" s="155"/>
      <c r="AR8" s="155"/>
      <c r="AS8" s="155"/>
      <c r="AT8" s="155"/>
      <c r="AU8" s="155"/>
      <c r="AV8" s="155"/>
      <c r="AW8" s="155"/>
      <c r="AX8" s="155"/>
      <c r="AY8" s="155"/>
      <c r="AZ8" s="155"/>
      <c r="BA8" s="156"/>
      <c r="BB8" s="13"/>
      <c r="BC8" s="13"/>
      <c r="BD8" s="13"/>
      <c r="BE8" s="13"/>
      <c r="BF8" s="13"/>
      <c r="BG8" s="13"/>
      <c r="BH8" s="13"/>
      <c r="BI8" s="13"/>
      <c r="BJ8" s="13"/>
      <c r="BK8" s="13"/>
      <c r="BL8" s="13"/>
      <c r="BM8" s="13"/>
      <c r="BN8" s="13"/>
      <c r="BO8" s="13"/>
    </row>
    <row r="9" spans="1:67" ht="12.2" customHeight="1">
      <c r="A9" s="32"/>
      <c r="B9" s="66">
        <v>3</v>
      </c>
      <c r="C9" s="67"/>
      <c r="D9" s="22"/>
      <c r="E9" s="24"/>
      <c r="F9" s="30" t="s">
        <v>8</v>
      </c>
      <c r="G9" s="31"/>
      <c r="H9" s="31"/>
      <c r="I9" s="31"/>
      <c r="J9" s="31"/>
      <c r="K9" s="31"/>
      <c r="L9" s="34"/>
      <c r="M9" s="34"/>
      <c r="N9" s="34"/>
      <c r="O9" s="34"/>
      <c r="P9" s="34"/>
      <c r="Q9" s="34"/>
      <c r="R9" s="34"/>
      <c r="S9" s="34"/>
      <c r="T9" s="34"/>
      <c r="U9" s="34"/>
      <c r="V9" s="151"/>
      <c r="W9" s="227" t="s">
        <v>9</v>
      </c>
      <c r="X9" s="31"/>
      <c r="Y9" s="31"/>
      <c r="Z9" s="23" t="s">
        <v>10</v>
      </c>
      <c r="AA9" s="23"/>
      <c r="AB9" s="23"/>
      <c r="AC9" s="23"/>
      <c r="AD9" s="23"/>
      <c r="AE9" s="23"/>
      <c r="AF9" s="23"/>
      <c r="AG9" s="23"/>
      <c r="AH9" s="23"/>
      <c r="AI9" s="225"/>
      <c r="AJ9" s="226" t="s">
        <v>11</v>
      </c>
      <c r="AK9" s="226"/>
      <c r="AL9" s="226"/>
      <c r="AM9" s="226"/>
      <c r="AN9" s="227"/>
      <c r="AO9" s="114"/>
      <c r="AP9" s="114"/>
      <c r="AQ9" s="114"/>
      <c r="AR9" s="157"/>
      <c r="AS9" s="157"/>
      <c r="AT9" s="157"/>
      <c r="AU9" s="157"/>
      <c r="AV9" s="157"/>
      <c r="AW9" s="157"/>
      <c r="AX9" s="157"/>
      <c r="AY9" s="157"/>
      <c r="AZ9" s="157"/>
      <c r="BA9" s="158"/>
      <c r="BB9" s="13"/>
      <c r="BC9" s="13"/>
      <c r="BD9" s="13"/>
      <c r="BE9" s="13"/>
      <c r="BF9" s="13"/>
      <c r="BG9" s="13"/>
      <c r="BH9" s="13"/>
      <c r="BI9" s="13"/>
      <c r="BJ9" s="13"/>
      <c r="BK9" s="13"/>
      <c r="BL9" s="13"/>
      <c r="BM9" s="13"/>
      <c r="BN9" s="13"/>
      <c r="BO9" s="13"/>
    </row>
    <row r="10" spans="1:67" ht="12.2" customHeight="1">
      <c r="A10" s="32"/>
      <c r="B10" s="66">
        <v>4</v>
      </c>
      <c r="C10" s="67"/>
      <c r="D10" s="22"/>
      <c r="E10" s="24"/>
      <c r="F10" s="61" t="s">
        <v>12</v>
      </c>
      <c r="G10" s="39"/>
      <c r="H10" s="39"/>
      <c r="I10" s="39"/>
      <c r="J10" s="39"/>
      <c r="K10" s="39"/>
      <c r="L10" s="39"/>
      <c r="M10" s="39"/>
      <c r="N10" s="39"/>
      <c r="O10" s="48"/>
      <c r="P10" s="48"/>
      <c r="Q10" s="48"/>
      <c r="R10" s="48"/>
      <c r="S10" s="48"/>
      <c r="T10" s="48"/>
      <c r="U10" s="49" t="str">
        <f>[1]UOM!B1</f>
        <v>m²</v>
      </c>
      <c r="V10" s="50"/>
      <c r="W10" s="146" t="s">
        <v>13</v>
      </c>
      <c r="X10" s="146"/>
      <c r="Y10" s="146"/>
      <c r="Z10" s="146"/>
      <c r="AA10" s="146"/>
      <c r="AB10" s="146"/>
      <c r="AC10" s="146"/>
      <c r="AD10" s="38"/>
      <c r="AE10" s="40"/>
      <c r="AF10" s="40"/>
      <c r="AG10" s="40"/>
      <c r="AH10" s="40"/>
      <c r="AI10" s="40"/>
      <c r="AJ10" s="38" t="s">
        <v>14</v>
      </c>
      <c r="AK10" s="39"/>
      <c r="AL10" s="39"/>
      <c r="AM10" s="39"/>
      <c r="AN10" s="39"/>
      <c r="AO10" s="39"/>
      <c r="AP10" s="39"/>
      <c r="AQ10" s="39"/>
      <c r="AR10" s="47" t="str">
        <f t="shared" ref="AR10" si="1">dummy3dummyV7dummy1</f>
        <v>1.200,00</v>
      </c>
      <c r="AS10" s="47"/>
      <c r="AT10" s="47"/>
      <c r="AU10" s="47"/>
      <c r="AV10" s="47"/>
      <c r="AW10" s="47"/>
      <c r="AX10" s="47"/>
      <c r="AY10" s="47"/>
      <c r="AZ10" s="154" t="str">
        <f t="shared" ref="AZ10" si="2">dummy3dummyU7dummy1</f>
        <v>m²</v>
      </c>
      <c r="BA10" s="154"/>
      <c r="BB10" s="13"/>
      <c r="BC10" s="13"/>
      <c r="BD10" s="13"/>
      <c r="BE10" s="13"/>
      <c r="BF10" s="13"/>
      <c r="BG10" s="13"/>
      <c r="BH10" s="13"/>
      <c r="BI10" s="13"/>
      <c r="BJ10" s="13"/>
      <c r="BK10" s="13"/>
      <c r="BL10" s="13"/>
      <c r="BM10" s="13"/>
      <c r="BN10" s="13"/>
      <c r="BO10" s="13"/>
    </row>
    <row r="11" spans="1:67" ht="12.2" customHeight="1">
      <c r="A11" s="32"/>
      <c r="B11" s="66">
        <v>5</v>
      </c>
      <c r="C11" s="67"/>
      <c r="D11" s="22"/>
      <c r="E11" s="24"/>
      <c r="F11" s="159" t="s">
        <v>1</v>
      </c>
      <c r="G11" s="160"/>
      <c r="H11" s="160"/>
      <c r="I11" s="160"/>
      <c r="J11" s="160"/>
      <c r="K11" s="160"/>
      <c r="L11" s="160"/>
      <c r="M11" s="160"/>
      <c r="N11" s="160"/>
      <c r="O11" s="160"/>
      <c r="P11" s="160"/>
      <c r="Q11" s="160"/>
      <c r="R11" s="160"/>
      <c r="S11" s="160"/>
      <c r="T11" s="160"/>
      <c r="U11" s="161"/>
      <c r="V11" s="150" t="s">
        <v>15</v>
      </c>
      <c r="W11" s="150"/>
      <c r="X11" s="150"/>
      <c r="Y11" s="150"/>
      <c r="Z11" s="150"/>
      <c r="AA11" s="150"/>
      <c r="AB11" s="150"/>
      <c r="AC11" s="150"/>
      <c r="AD11" s="150"/>
      <c r="AE11" s="150"/>
      <c r="AF11" s="150"/>
      <c r="AG11" s="150"/>
      <c r="AH11" s="150"/>
      <c r="AI11" s="150"/>
      <c r="AJ11" s="150"/>
      <c r="AK11" s="150"/>
      <c r="AL11" s="222" t="s">
        <v>16</v>
      </c>
      <c r="AM11" s="222"/>
      <c r="AN11" s="222"/>
      <c r="AO11" s="222"/>
      <c r="AP11" s="222"/>
      <c r="AQ11" s="222"/>
      <c r="AR11" s="222"/>
      <c r="AS11" s="222"/>
      <c r="AT11" s="222"/>
      <c r="AU11" s="222"/>
      <c r="AV11" s="222"/>
      <c r="AW11" s="221"/>
      <c r="AX11" s="221"/>
      <c r="AY11" s="221"/>
      <c r="AZ11" s="221"/>
      <c r="BA11" s="10" t="s">
        <v>17</v>
      </c>
      <c r="BB11" s="13"/>
      <c r="BC11" s="13"/>
      <c r="BD11" s="13"/>
      <c r="BE11" s="13"/>
      <c r="BF11" s="13"/>
      <c r="BG11" s="13"/>
      <c r="BH11" s="13"/>
      <c r="BI11" s="13"/>
      <c r="BJ11" s="13"/>
      <c r="BK11" s="13"/>
      <c r="BL11" s="13"/>
      <c r="BM11" s="13"/>
      <c r="BN11" s="13"/>
      <c r="BO11" s="13"/>
    </row>
    <row r="12" spans="1:67" ht="12.2" customHeight="1">
      <c r="A12" s="32"/>
      <c r="B12" s="66">
        <v>6</v>
      </c>
      <c r="C12" s="67"/>
      <c r="D12" s="22"/>
      <c r="E12" s="24"/>
      <c r="F12" s="126" t="s">
        <v>1</v>
      </c>
      <c r="G12" s="127"/>
      <c r="H12" s="127"/>
      <c r="I12" s="127"/>
      <c r="J12" s="127"/>
      <c r="K12" s="127"/>
      <c r="L12" s="127"/>
      <c r="M12" s="127"/>
      <c r="N12" s="127"/>
      <c r="O12" s="127"/>
      <c r="P12" s="127"/>
      <c r="Q12" s="127"/>
      <c r="R12" s="127"/>
      <c r="S12" s="127"/>
      <c r="T12" s="127"/>
      <c r="U12" s="127"/>
      <c r="V12" s="147" t="s">
        <v>18</v>
      </c>
      <c r="W12" s="148"/>
      <c r="X12" s="148"/>
      <c r="Y12" s="148"/>
      <c r="Z12" s="148"/>
      <c r="AA12" s="148"/>
      <c r="AB12" s="148"/>
      <c r="AC12" s="148"/>
      <c r="AD12" s="148"/>
      <c r="AE12" s="148"/>
      <c r="AF12" s="148"/>
      <c r="AG12" s="148"/>
      <c r="AH12" s="148"/>
      <c r="AI12" s="148"/>
      <c r="AJ12" s="148"/>
      <c r="AK12" s="149"/>
      <c r="AL12" s="147" t="s">
        <v>19</v>
      </c>
      <c r="AM12" s="148"/>
      <c r="AN12" s="148"/>
      <c r="AO12" s="148"/>
      <c r="AP12" s="148"/>
      <c r="AQ12" s="148"/>
      <c r="AR12" s="148"/>
      <c r="AS12" s="148"/>
      <c r="AT12" s="148"/>
      <c r="AU12" s="148"/>
      <c r="AV12" s="148"/>
      <c r="AW12" s="148"/>
      <c r="AX12" s="148"/>
      <c r="AY12" s="148"/>
      <c r="AZ12" s="148"/>
      <c r="BA12" s="149"/>
      <c r="BB12" s="13"/>
      <c r="BC12" s="13"/>
      <c r="BD12" s="13"/>
      <c r="BE12" s="13"/>
      <c r="BF12" s="13"/>
      <c r="BG12" s="13"/>
      <c r="BH12" s="13"/>
      <c r="BI12" s="13"/>
      <c r="BJ12" s="13"/>
      <c r="BK12" s="13"/>
      <c r="BL12" s="13"/>
      <c r="BM12" s="13"/>
      <c r="BN12" s="13"/>
      <c r="BO12" s="13"/>
    </row>
    <row r="13" spans="1:67" ht="12.2" customHeight="1">
      <c r="A13" s="32"/>
      <c r="B13" s="66">
        <v>7</v>
      </c>
      <c r="C13" s="67"/>
      <c r="D13" s="22"/>
      <c r="E13" s="24"/>
      <c r="F13" s="30" t="s">
        <v>20</v>
      </c>
      <c r="G13" s="31"/>
      <c r="H13" s="31"/>
      <c r="I13" s="31"/>
      <c r="J13" s="31"/>
      <c r="K13" s="31"/>
      <c r="L13" s="31"/>
      <c r="M13" s="31"/>
      <c r="N13" s="31"/>
      <c r="O13" s="31"/>
      <c r="P13" s="31"/>
      <c r="Q13" s="31"/>
      <c r="R13" s="31"/>
      <c r="S13" s="31"/>
      <c r="T13" s="31"/>
      <c r="U13" s="56"/>
      <c r="V13" s="53" t="s">
        <v>21</v>
      </c>
      <c r="W13" s="54"/>
      <c r="X13" s="54"/>
      <c r="Y13" s="54"/>
      <c r="Z13" s="54"/>
      <c r="AA13" s="54"/>
      <c r="AB13" s="54"/>
      <c r="AC13" s="54"/>
      <c r="AD13" s="54"/>
      <c r="AE13" s="54"/>
      <c r="AF13" s="54"/>
      <c r="AG13" s="54"/>
      <c r="AH13" s="54"/>
      <c r="AI13" s="54"/>
      <c r="AJ13" s="54"/>
      <c r="AK13" s="55"/>
      <c r="AL13" s="53" t="s">
        <v>22</v>
      </c>
      <c r="AM13" s="54"/>
      <c r="AN13" s="54"/>
      <c r="AO13" s="54"/>
      <c r="AP13" s="54"/>
      <c r="AQ13" s="54"/>
      <c r="AR13" s="54"/>
      <c r="AS13" s="54"/>
      <c r="AT13" s="54"/>
      <c r="AU13" s="54"/>
      <c r="AV13" s="54"/>
      <c r="AW13" s="54"/>
      <c r="AX13" s="54"/>
      <c r="AY13" s="54"/>
      <c r="AZ13" s="54"/>
      <c r="BA13" s="55"/>
      <c r="BB13" s="13"/>
      <c r="BC13" s="13"/>
      <c r="BD13" s="13"/>
      <c r="BE13" s="13"/>
      <c r="BF13" s="13"/>
      <c r="BG13" s="13"/>
      <c r="BH13" s="13"/>
      <c r="BI13" s="13"/>
      <c r="BJ13" s="13"/>
      <c r="BK13" s="13"/>
      <c r="BL13" s="13"/>
      <c r="BM13" s="13"/>
      <c r="BN13" s="13"/>
      <c r="BO13" s="13"/>
    </row>
    <row r="14" spans="1:67" ht="12.2" customHeight="1">
      <c r="A14" s="32"/>
      <c r="B14" s="66">
        <v>8</v>
      </c>
      <c r="C14" s="67"/>
      <c r="D14" s="22"/>
      <c r="E14" s="24"/>
      <c r="F14" s="61" t="s">
        <v>23</v>
      </c>
      <c r="G14" s="39"/>
      <c r="H14" s="39"/>
      <c r="I14" s="39"/>
      <c r="J14" s="39"/>
      <c r="K14" s="39"/>
      <c r="L14" s="39"/>
      <c r="M14" s="39"/>
      <c r="N14" s="39"/>
      <c r="O14" s="39"/>
      <c r="P14" s="39"/>
      <c r="Q14" s="49" t="s">
        <v>93</v>
      </c>
      <c r="R14" s="49"/>
      <c r="S14" s="49"/>
      <c r="T14" s="49"/>
      <c r="U14" s="60"/>
      <c r="V14" s="70">
        <v>337000</v>
      </c>
      <c r="W14" s="71"/>
      <c r="X14" s="71"/>
      <c r="Y14" s="71"/>
      <c r="Z14" s="71"/>
      <c r="AA14" s="71"/>
      <c r="AB14" s="71"/>
      <c r="AC14" s="71"/>
      <c r="AD14" s="71"/>
      <c r="AE14" s="71"/>
      <c r="AF14" s="71"/>
      <c r="AG14" s="71"/>
      <c r="AH14" s="71"/>
      <c r="AI14" s="71"/>
      <c r="AJ14" s="71"/>
      <c r="AK14" s="72"/>
      <c r="AL14" s="70">
        <v>370623</v>
      </c>
      <c r="AM14" s="71"/>
      <c r="AN14" s="71"/>
      <c r="AO14" s="71"/>
      <c r="AP14" s="71"/>
      <c r="AQ14" s="71"/>
      <c r="AR14" s="71"/>
      <c r="AS14" s="71"/>
      <c r="AT14" s="71"/>
      <c r="AU14" s="71"/>
      <c r="AV14" s="71"/>
      <c r="AW14" s="71"/>
      <c r="AX14" s="71"/>
      <c r="AY14" s="71"/>
      <c r="AZ14" s="71"/>
      <c r="BA14" s="72"/>
      <c r="BB14" s="13"/>
      <c r="BC14" s="13"/>
      <c r="BD14" s="13"/>
      <c r="BE14" s="13"/>
      <c r="BF14" s="13"/>
      <c r="BG14" s="13"/>
      <c r="BH14" s="13"/>
      <c r="BI14" s="13"/>
      <c r="BJ14" s="13"/>
      <c r="BK14" s="13"/>
      <c r="BL14" s="13"/>
      <c r="BM14" s="13"/>
      <c r="BN14" s="13"/>
      <c r="BO14" s="13"/>
    </row>
    <row r="15" spans="1:67" ht="12.2" customHeight="1">
      <c r="A15" s="32"/>
      <c r="B15" s="66">
        <v>9</v>
      </c>
      <c r="C15" s="67"/>
      <c r="D15" s="22"/>
      <c r="E15" s="24"/>
      <c r="F15" s="62" t="s">
        <v>24</v>
      </c>
      <c r="G15" s="63"/>
      <c r="H15" s="63"/>
      <c r="I15" s="63"/>
      <c r="J15" s="63"/>
      <c r="K15" s="63"/>
      <c r="L15" s="63"/>
      <c r="M15" s="63"/>
      <c r="N15" s="63"/>
      <c r="O15" s="63"/>
      <c r="P15" s="63"/>
      <c r="Q15" s="18" t="s">
        <v>93</v>
      </c>
      <c r="R15" s="18"/>
      <c r="S15" s="18"/>
      <c r="T15" s="18"/>
      <c r="U15" s="19"/>
      <c r="V15" s="53"/>
      <c r="W15" s="54"/>
      <c r="X15" s="54"/>
      <c r="Y15" s="54"/>
      <c r="Z15" s="54"/>
      <c r="AA15" s="54"/>
      <c r="AB15" s="54"/>
      <c r="AC15" s="55"/>
      <c r="AD15" s="53"/>
      <c r="AE15" s="54"/>
      <c r="AF15" s="54"/>
      <c r="AG15" s="54"/>
      <c r="AH15" s="54"/>
      <c r="AI15" s="54"/>
      <c r="AJ15" s="54"/>
      <c r="AK15" s="55"/>
      <c r="AL15" s="53"/>
      <c r="AM15" s="54"/>
      <c r="AN15" s="54"/>
      <c r="AO15" s="54"/>
      <c r="AP15" s="54"/>
      <c r="AQ15" s="54"/>
      <c r="AR15" s="54"/>
      <c r="AS15" s="55"/>
      <c r="AT15" s="53"/>
      <c r="AU15" s="54"/>
      <c r="AV15" s="54"/>
      <c r="AW15" s="54"/>
      <c r="AX15" s="54"/>
      <c r="AY15" s="54"/>
      <c r="AZ15" s="54"/>
      <c r="BA15" s="55"/>
      <c r="BB15" s="13"/>
      <c r="BC15" s="13"/>
      <c r="BD15" s="13"/>
      <c r="BE15" s="13"/>
      <c r="BF15" s="13"/>
      <c r="BG15" s="13"/>
      <c r="BH15" s="13"/>
      <c r="BI15" s="13"/>
      <c r="BJ15" s="13"/>
      <c r="BK15" s="13"/>
      <c r="BL15" s="13"/>
      <c r="BM15" s="13"/>
      <c r="BN15" s="13"/>
      <c r="BO15" s="13"/>
    </row>
    <row r="16" spans="1:67" ht="12.2" customHeight="1">
      <c r="A16" s="32"/>
      <c r="B16" s="66">
        <v>10</v>
      </c>
      <c r="C16" s="67"/>
      <c r="D16" s="22"/>
      <c r="E16" s="24"/>
      <c r="F16" s="30" t="s">
        <v>25</v>
      </c>
      <c r="G16" s="31"/>
      <c r="H16" s="31"/>
      <c r="I16" s="31"/>
      <c r="J16" s="31"/>
      <c r="K16" s="31"/>
      <c r="L16" s="31"/>
      <c r="M16" s="31"/>
      <c r="N16" s="31"/>
      <c r="O16" s="31"/>
      <c r="P16" s="31"/>
      <c r="Q16" s="64" t="s">
        <v>93</v>
      </c>
      <c r="R16" s="64"/>
      <c r="S16" s="64"/>
      <c r="T16" s="64"/>
      <c r="U16" s="65"/>
      <c r="V16" s="57"/>
      <c r="W16" s="58"/>
      <c r="X16" s="58"/>
      <c r="Y16" s="58"/>
      <c r="Z16" s="58"/>
      <c r="AA16" s="58"/>
      <c r="AB16" s="58"/>
      <c r="AC16" s="59"/>
      <c r="AD16" s="57"/>
      <c r="AE16" s="58"/>
      <c r="AF16" s="58"/>
      <c r="AG16" s="58"/>
      <c r="AH16" s="58"/>
      <c r="AI16" s="58"/>
      <c r="AJ16" s="58"/>
      <c r="AK16" s="59"/>
      <c r="AL16" s="57"/>
      <c r="AM16" s="58"/>
      <c r="AN16" s="58"/>
      <c r="AO16" s="58"/>
      <c r="AP16" s="58"/>
      <c r="AQ16" s="58"/>
      <c r="AR16" s="58"/>
      <c r="AS16" s="59"/>
      <c r="AT16" s="57"/>
      <c r="AU16" s="58"/>
      <c r="AV16" s="58"/>
      <c r="AW16" s="58"/>
      <c r="AX16" s="58"/>
      <c r="AY16" s="58"/>
      <c r="AZ16" s="58"/>
      <c r="BA16" s="59"/>
      <c r="BB16" s="13"/>
      <c r="BC16" s="13"/>
      <c r="BD16" s="13"/>
      <c r="BE16" s="13"/>
      <c r="BF16" s="13"/>
      <c r="BG16" s="13"/>
      <c r="BH16" s="13"/>
      <c r="BI16" s="13"/>
      <c r="BJ16" s="13"/>
      <c r="BK16" s="13"/>
      <c r="BL16" s="13"/>
      <c r="BM16" s="13"/>
      <c r="BN16" s="13"/>
      <c r="BO16" s="13"/>
    </row>
    <row r="17" spans="1:67" ht="12.2" customHeight="1">
      <c r="A17" s="32"/>
      <c r="B17" s="66">
        <v>11</v>
      </c>
      <c r="C17" s="67"/>
      <c r="D17" s="22"/>
      <c r="E17" s="24"/>
      <c r="F17" s="30" t="s">
        <v>26</v>
      </c>
      <c r="G17" s="31"/>
      <c r="H17" s="31"/>
      <c r="I17" s="31"/>
      <c r="J17" s="31"/>
      <c r="K17" s="31"/>
      <c r="L17" s="31"/>
      <c r="M17" s="31"/>
      <c r="N17" s="31"/>
      <c r="O17" s="31"/>
      <c r="P17" s="31"/>
      <c r="Q17" s="64" t="s">
        <v>93</v>
      </c>
      <c r="R17" s="64"/>
      <c r="S17" s="64"/>
      <c r="T17" s="64"/>
      <c r="U17" s="65"/>
      <c r="V17" s="57"/>
      <c r="W17" s="58"/>
      <c r="X17" s="58"/>
      <c r="Y17" s="58"/>
      <c r="Z17" s="58"/>
      <c r="AA17" s="58"/>
      <c r="AB17" s="58"/>
      <c r="AC17" s="59"/>
      <c r="AD17" s="57"/>
      <c r="AE17" s="58"/>
      <c r="AF17" s="58"/>
      <c r="AG17" s="58"/>
      <c r="AH17" s="58"/>
      <c r="AI17" s="58"/>
      <c r="AJ17" s="58"/>
      <c r="AK17" s="59"/>
      <c r="AL17" s="57"/>
      <c r="AM17" s="58"/>
      <c r="AN17" s="58"/>
      <c r="AO17" s="58"/>
      <c r="AP17" s="58"/>
      <c r="AQ17" s="58"/>
      <c r="AR17" s="58"/>
      <c r="AS17" s="59"/>
      <c r="AT17" s="57"/>
      <c r="AU17" s="58"/>
      <c r="AV17" s="58"/>
      <c r="AW17" s="58"/>
      <c r="AX17" s="58"/>
      <c r="AY17" s="58"/>
      <c r="AZ17" s="58"/>
      <c r="BA17" s="59"/>
      <c r="BB17" s="13"/>
      <c r="BC17" s="13"/>
      <c r="BD17" s="13"/>
      <c r="BE17" s="13"/>
      <c r="BF17" s="13"/>
      <c r="BG17" s="13"/>
      <c r="BH17" s="13"/>
      <c r="BI17" s="13"/>
      <c r="BJ17" s="13"/>
      <c r="BK17" s="13"/>
      <c r="BL17" s="13"/>
      <c r="BM17" s="13"/>
      <c r="BN17" s="13"/>
      <c r="BO17" s="13"/>
    </row>
    <row r="18" spans="1:67" ht="12.2" customHeight="1">
      <c r="A18" s="32"/>
      <c r="B18" s="66">
        <v>12</v>
      </c>
      <c r="C18" s="67"/>
      <c r="D18" s="22"/>
      <c r="E18" s="24"/>
      <c r="F18" s="30" t="s">
        <v>27</v>
      </c>
      <c r="G18" s="31"/>
      <c r="H18" s="31"/>
      <c r="I18" s="31"/>
      <c r="J18" s="31"/>
      <c r="K18" s="31"/>
      <c r="L18" s="31"/>
      <c r="M18" s="31"/>
      <c r="N18" s="31"/>
      <c r="O18" s="31"/>
      <c r="P18" s="31"/>
      <c r="Q18" s="64" t="s">
        <v>93</v>
      </c>
      <c r="R18" s="64"/>
      <c r="S18" s="64"/>
      <c r="T18" s="64"/>
      <c r="U18" s="65"/>
      <c r="V18" s="57"/>
      <c r="W18" s="58"/>
      <c r="X18" s="58"/>
      <c r="Y18" s="58"/>
      <c r="Z18" s="58"/>
      <c r="AA18" s="58"/>
      <c r="AB18" s="58"/>
      <c r="AC18" s="59"/>
      <c r="AD18" s="57">
        <v>337000</v>
      </c>
      <c r="AE18" s="58"/>
      <c r="AF18" s="58"/>
      <c r="AG18" s="58"/>
      <c r="AH18" s="58"/>
      <c r="AI18" s="58"/>
      <c r="AJ18" s="58"/>
      <c r="AK18" s="59"/>
      <c r="AL18" s="57" t="str">
        <f t="shared" ref="AL18" si="3">dummy3dummyD7dummy3</f>
        <v>0,00 km²</v>
      </c>
      <c r="AM18" s="58"/>
      <c r="AN18" s="58"/>
      <c r="AO18" s="58"/>
      <c r="AP18" s="58"/>
      <c r="AQ18" s="58"/>
      <c r="AR18" s="58"/>
      <c r="AS18" s="59"/>
      <c r="AT18" s="57">
        <v>370623</v>
      </c>
      <c r="AU18" s="58"/>
      <c r="AV18" s="58"/>
      <c r="AW18" s="58"/>
      <c r="AX18" s="58"/>
      <c r="AY18" s="58"/>
      <c r="AZ18" s="58"/>
      <c r="BA18" s="59"/>
      <c r="BB18" s="13"/>
      <c r="BC18" s="13"/>
      <c r="BD18" s="13"/>
      <c r="BE18" s="13"/>
      <c r="BF18" s="13"/>
      <c r="BG18" s="13"/>
      <c r="BH18" s="13"/>
      <c r="BI18" s="13"/>
      <c r="BJ18" s="13"/>
      <c r="BK18" s="13"/>
      <c r="BL18" s="13"/>
      <c r="BM18" s="13"/>
      <c r="BN18" s="13"/>
      <c r="BO18" s="13"/>
    </row>
    <row r="19" spans="1:67" ht="12.2" customHeight="1">
      <c r="A19" s="32"/>
      <c r="B19" s="66">
        <v>13</v>
      </c>
      <c r="C19" s="67"/>
      <c r="D19" s="22"/>
      <c r="E19" s="24"/>
      <c r="F19" s="61" t="s">
        <v>28</v>
      </c>
      <c r="G19" s="39"/>
      <c r="H19" s="39"/>
      <c r="I19" s="39"/>
      <c r="J19" s="39"/>
      <c r="K19" s="39"/>
      <c r="L19" s="39"/>
      <c r="M19" s="39"/>
      <c r="N19" s="39"/>
      <c r="O19" s="39"/>
      <c r="P19" s="39"/>
      <c r="Q19" s="49" t="s">
        <v>93</v>
      </c>
      <c r="R19" s="49"/>
      <c r="S19" s="49"/>
      <c r="T19" s="49"/>
      <c r="U19" s="60"/>
      <c r="V19" s="70"/>
      <c r="W19" s="71"/>
      <c r="X19" s="71"/>
      <c r="Y19" s="71"/>
      <c r="Z19" s="71"/>
      <c r="AA19" s="71"/>
      <c r="AB19" s="71"/>
      <c r="AC19" s="72"/>
      <c r="AD19" s="70"/>
      <c r="AE19" s="71"/>
      <c r="AF19" s="71"/>
      <c r="AG19" s="71"/>
      <c r="AH19" s="71"/>
      <c r="AI19" s="71"/>
      <c r="AJ19" s="71"/>
      <c r="AK19" s="72"/>
      <c r="AL19" s="70"/>
      <c r="AM19" s="71"/>
      <c r="AN19" s="71"/>
      <c r="AO19" s="71"/>
      <c r="AP19" s="71"/>
      <c r="AQ19" s="71"/>
      <c r="AR19" s="71"/>
      <c r="AS19" s="72"/>
      <c r="AT19" s="70"/>
      <c r="AU19" s="71"/>
      <c r="AV19" s="71"/>
      <c r="AW19" s="71"/>
      <c r="AX19" s="71"/>
      <c r="AY19" s="71"/>
      <c r="AZ19" s="71"/>
      <c r="BA19" s="72"/>
      <c r="BB19" s="13"/>
      <c r="BC19" s="13"/>
      <c r="BD19" s="13"/>
      <c r="BE19" s="13"/>
      <c r="BF19" s="13"/>
      <c r="BG19" s="13"/>
      <c r="BH19" s="13"/>
      <c r="BI19" s="13"/>
      <c r="BJ19" s="13"/>
      <c r="BK19" s="13"/>
      <c r="BL19" s="13"/>
      <c r="BM19" s="13"/>
      <c r="BN19" s="13"/>
      <c r="BO19" s="13"/>
    </row>
    <row r="20" spans="1:67" ht="12.2" customHeight="1">
      <c r="A20" s="32"/>
      <c r="B20" s="66">
        <v>14</v>
      </c>
      <c r="C20" s="67"/>
      <c r="D20" s="22"/>
      <c r="E20" s="24"/>
      <c r="F20" s="62" t="s">
        <v>29</v>
      </c>
      <c r="G20" s="63"/>
      <c r="H20" s="29" t="s">
        <v>30</v>
      </c>
      <c r="I20" s="29"/>
      <c r="J20" s="29"/>
      <c r="K20" s="29"/>
      <c r="L20" s="29"/>
      <c r="M20" s="29"/>
      <c r="N20" s="29"/>
      <c r="O20" s="29"/>
      <c r="P20" s="29"/>
      <c r="Q20" s="18" t="s">
        <v>94</v>
      </c>
      <c r="R20" s="18"/>
      <c r="S20" s="18"/>
      <c r="T20" s="18"/>
      <c r="U20" s="19"/>
      <c r="V20" s="145"/>
      <c r="W20" s="42"/>
      <c r="X20" s="42"/>
      <c r="Y20" s="42"/>
      <c r="Z20" s="11" t="s">
        <v>31</v>
      </c>
      <c r="AA20" s="51"/>
      <c r="AB20" s="51"/>
      <c r="AC20" s="52"/>
      <c r="AD20" s="41"/>
      <c r="AE20" s="42"/>
      <c r="AF20" s="42"/>
      <c r="AG20" s="42"/>
      <c r="AH20" s="11" t="s">
        <v>31</v>
      </c>
      <c r="AI20" s="51"/>
      <c r="AJ20" s="51"/>
      <c r="AK20" s="52"/>
      <c r="AL20" s="41"/>
      <c r="AM20" s="42"/>
      <c r="AN20" s="42"/>
      <c r="AO20" s="42"/>
      <c r="AP20" s="11" t="s">
        <v>31</v>
      </c>
      <c r="AQ20" s="51"/>
      <c r="AR20" s="51"/>
      <c r="AS20" s="52"/>
      <c r="AT20" s="41"/>
      <c r="AU20" s="42"/>
      <c r="AV20" s="42"/>
      <c r="AW20" s="42"/>
      <c r="AX20" s="11" t="s">
        <v>31</v>
      </c>
      <c r="AY20" s="51"/>
      <c r="AZ20" s="51"/>
      <c r="BA20" s="52"/>
      <c r="BB20" s="13"/>
      <c r="BC20" s="13"/>
      <c r="BD20" s="13"/>
      <c r="BE20" s="13"/>
      <c r="BF20" s="13"/>
      <c r="BG20" s="13"/>
      <c r="BH20" s="13"/>
      <c r="BI20" s="13"/>
      <c r="BJ20" s="13"/>
      <c r="BK20" s="13"/>
      <c r="BL20" s="13"/>
      <c r="BM20" s="13"/>
      <c r="BN20" s="13"/>
      <c r="BO20" s="13"/>
    </row>
    <row r="21" spans="1:67" ht="12.2" customHeight="1">
      <c r="A21" s="32"/>
      <c r="B21" s="66">
        <v>15</v>
      </c>
      <c r="C21" s="67"/>
      <c r="D21" s="22"/>
      <c r="E21" s="24"/>
      <c r="F21" s="30" t="s">
        <v>32</v>
      </c>
      <c r="G21" s="31"/>
      <c r="H21" s="31"/>
      <c r="I21" s="31"/>
      <c r="J21" s="31"/>
      <c r="K21" s="31"/>
      <c r="L21" s="31"/>
      <c r="M21" s="20" t="s">
        <v>33</v>
      </c>
      <c r="N21" s="20"/>
      <c r="O21" s="20"/>
      <c r="P21" s="20"/>
      <c r="Q21" s="64" t="s">
        <v>95</v>
      </c>
      <c r="R21" s="64"/>
      <c r="S21" s="64"/>
      <c r="T21" s="64"/>
      <c r="U21" s="65"/>
      <c r="V21" s="212">
        <v>988.3</v>
      </c>
      <c r="W21" s="213"/>
      <c r="X21" s="213"/>
      <c r="Y21" s="213"/>
      <c r="Z21" s="12" t="s">
        <v>31</v>
      </c>
      <c r="AA21" s="36"/>
      <c r="AB21" s="36"/>
      <c r="AC21" s="37"/>
      <c r="AD21" s="216">
        <v>992.4</v>
      </c>
      <c r="AE21" s="213"/>
      <c r="AF21" s="213"/>
      <c r="AG21" s="213"/>
      <c r="AH21" s="12" t="s">
        <v>31</v>
      </c>
      <c r="AI21" s="36"/>
      <c r="AJ21" s="36"/>
      <c r="AK21" s="37"/>
      <c r="AL21" s="216">
        <v>994.8</v>
      </c>
      <c r="AM21" s="213"/>
      <c r="AN21" s="213"/>
      <c r="AO21" s="213"/>
      <c r="AP21" s="12" t="s">
        <v>31</v>
      </c>
      <c r="AQ21" s="36"/>
      <c r="AR21" s="36"/>
      <c r="AS21" s="37"/>
      <c r="AT21" s="216">
        <v>991</v>
      </c>
      <c r="AU21" s="213"/>
      <c r="AV21" s="213"/>
      <c r="AW21" s="213"/>
      <c r="AX21" s="12" t="s">
        <v>31</v>
      </c>
      <c r="AY21" s="36"/>
      <c r="AZ21" s="36"/>
      <c r="BA21" s="37"/>
      <c r="BB21" s="13"/>
      <c r="BC21" s="13"/>
      <c r="BD21" s="13"/>
      <c r="BE21" s="13"/>
      <c r="BF21" s="13"/>
      <c r="BG21" s="13"/>
      <c r="BH21" s="13"/>
      <c r="BI21" s="13"/>
      <c r="BJ21" s="13"/>
      <c r="BK21" s="13"/>
      <c r="BL21" s="13"/>
      <c r="BM21" s="13"/>
      <c r="BN21" s="13"/>
      <c r="BO21" s="13"/>
    </row>
    <row r="22" spans="1:67" ht="12.2" customHeight="1">
      <c r="A22" s="32"/>
      <c r="B22" s="66">
        <v>16</v>
      </c>
      <c r="C22" s="67"/>
      <c r="D22" s="22"/>
      <c r="E22" s="24"/>
      <c r="F22" s="30" t="s">
        <v>34</v>
      </c>
      <c r="G22" s="31"/>
      <c r="H22" s="31"/>
      <c r="I22" s="31"/>
      <c r="J22" s="31"/>
      <c r="K22" s="31"/>
      <c r="L22" s="31"/>
      <c r="M22" s="20" t="s">
        <v>33</v>
      </c>
      <c r="N22" s="20"/>
      <c r="O22" s="20"/>
      <c r="P22" s="20"/>
      <c r="Q22" s="64" t="s">
        <v>96</v>
      </c>
      <c r="R22" s="64"/>
      <c r="S22" s="64"/>
      <c r="T22" s="64"/>
      <c r="U22" s="65"/>
      <c r="V22" s="43">
        <v>0.54</v>
      </c>
      <c r="W22" s="44"/>
      <c r="X22" s="44"/>
      <c r="Y22" s="44"/>
      <c r="Z22" s="11" t="s">
        <v>31</v>
      </c>
      <c r="AA22" s="73"/>
      <c r="AB22" s="73"/>
      <c r="AC22" s="74"/>
      <c r="AD22" s="43">
        <v>0.65</v>
      </c>
      <c r="AE22" s="44"/>
      <c r="AF22" s="44"/>
      <c r="AG22" s="44"/>
      <c r="AH22" s="11" t="s">
        <v>31</v>
      </c>
      <c r="AI22" s="73"/>
      <c r="AJ22" s="73"/>
      <c r="AK22" s="74"/>
      <c r="AL22" s="43">
        <v>0.75</v>
      </c>
      <c r="AM22" s="44"/>
      <c r="AN22" s="44"/>
      <c r="AO22" s="44"/>
      <c r="AP22" s="11" t="s">
        <v>31</v>
      </c>
      <c r="AQ22" s="73"/>
      <c r="AR22" s="73"/>
      <c r="AS22" s="74"/>
      <c r="AT22" s="43">
        <v>0.63</v>
      </c>
      <c r="AU22" s="44"/>
      <c r="AV22" s="44"/>
      <c r="AW22" s="44"/>
      <c r="AX22" s="11" t="s">
        <v>31</v>
      </c>
      <c r="AY22" s="73"/>
      <c r="AZ22" s="73"/>
      <c r="BA22" s="74"/>
      <c r="BB22" s="13"/>
      <c r="BC22" s="13"/>
      <c r="BD22" s="13"/>
      <c r="BE22" s="13"/>
      <c r="BF22" s="13"/>
      <c r="BG22" s="13"/>
      <c r="BH22" s="13"/>
      <c r="BI22" s="13"/>
      <c r="BJ22" s="13"/>
      <c r="BK22" s="13"/>
      <c r="BL22" s="13"/>
      <c r="BM22" s="13"/>
      <c r="BN22" s="13"/>
      <c r="BO22" s="13"/>
    </row>
    <row r="23" spans="1:67" ht="12.2" customHeight="1">
      <c r="A23" s="32"/>
      <c r="B23" s="66">
        <v>17</v>
      </c>
      <c r="C23" s="67"/>
      <c r="D23" s="22"/>
      <c r="E23" s="24"/>
      <c r="F23" s="30" t="s">
        <v>35</v>
      </c>
      <c r="G23" s="31"/>
      <c r="H23" s="31"/>
      <c r="I23" s="31"/>
      <c r="J23" s="31"/>
      <c r="K23" s="31"/>
      <c r="L23" s="31"/>
      <c r="M23" s="20" t="s">
        <v>33</v>
      </c>
      <c r="N23" s="20"/>
      <c r="O23" s="20"/>
      <c r="P23" s="20"/>
      <c r="Q23" s="64" t="s">
        <v>97</v>
      </c>
      <c r="R23" s="64"/>
      <c r="S23" s="64"/>
      <c r="T23" s="64"/>
      <c r="U23" s="65"/>
      <c r="V23" s="43">
        <v>0.55000000000000004</v>
      </c>
      <c r="W23" s="44"/>
      <c r="X23" s="44"/>
      <c r="Y23" s="44"/>
      <c r="Z23" s="12" t="s">
        <v>31</v>
      </c>
      <c r="AA23" s="73"/>
      <c r="AB23" s="73"/>
      <c r="AC23" s="74"/>
      <c r="AD23" s="43">
        <v>0.54</v>
      </c>
      <c r="AE23" s="44"/>
      <c r="AF23" s="44"/>
      <c r="AG23" s="44"/>
      <c r="AH23" s="12" t="s">
        <v>31</v>
      </c>
      <c r="AI23" s="73"/>
      <c r="AJ23" s="73"/>
      <c r="AK23" s="74"/>
      <c r="AL23" s="43">
        <v>0.53</v>
      </c>
      <c r="AM23" s="44"/>
      <c r="AN23" s="44"/>
      <c r="AO23" s="44"/>
      <c r="AP23" s="12" t="s">
        <v>31</v>
      </c>
      <c r="AQ23" s="73"/>
      <c r="AR23" s="73"/>
      <c r="AS23" s="74"/>
      <c r="AT23" s="43">
        <v>0.54</v>
      </c>
      <c r="AU23" s="44"/>
      <c r="AV23" s="44"/>
      <c r="AW23" s="44"/>
      <c r="AX23" s="12" t="s">
        <v>31</v>
      </c>
      <c r="AY23" s="73"/>
      <c r="AZ23" s="73"/>
      <c r="BA23" s="74"/>
      <c r="BB23" s="13"/>
      <c r="BC23" s="13"/>
      <c r="BD23" s="13"/>
      <c r="BE23" s="13"/>
      <c r="BF23" s="13"/>
      <c r="BG23" s="13"/>
      <c r="BH23" s="13"/>
      <c r="BI23" s="13"/>
      <c r="BJ23" s="13"/>
      <c r="BK23" s="13"/>
      <c r="BL23" s="13"/>
      <c r="BM23" s="13"/>
      <c r="BN23" s="13"/>
      <c r="BO23" s="13"/>
    </row>
    <row r="24" spans="1:67" ht="12.2" customHeight="1">
      <c r="A24" s="32"/>
      <c r="B24" s="66">
        <v>18</v>
      </c>
      <c r="C24" s="67"/>
      <c r="D24" s="22"/>
      <c r="E24" s="24"/>
      <c r="F24" s="30" t="s">
        <v>36</v>
      </c>
      <c r="G24" s="31"/>
      <c r="H24" s="31"/>
      <c r="I24" s="31"/>
      <c r="J24" s="31"/>
      <c r="K24" s="31"/>
      <c r="L24" s="31"/>
      <c r="M24" s="20" t="s">
        <v>33</v>
      </c>
      <c r="N24" s="20"/>
      <c r="O24" s="20"/>
      <c r="P24" s="20"/>
      <c r="Q24" s="64" t="s">
        <v>98</v>
      </c>
      <c r="R24" s="64"/>
      <c r="S24" s="64"/>
      <c r="T24" s="64"/>
      <c r="U24" s="65"/>
      <c r="V24" s="43">
        <v>0.96</v>
      </c>
      <c r="W24" s="44"/>
      <c r="X24" s="44"/>
      <c r="Y24" s="44"/>
      <c r="Z24" s="11" t="s">
        <v>31</v>
      </c>
      <c r="AA24" s="36"/>
      <c r="AB24" s="36"/>
      <c r="AC24" s="37"/>
      <c r="AD24" s="43">
        <v>0.97</v>
      </c>
      <c r="AE24" s="44"/>
      <c r="AF24" s="44"/>
      <c r="AG24" s="44"/>
      <c r="AH24" s="11" t="s">
        <v>31</v>
      </c>
      <c r="AI24" s="36"/>
      <c r="AJ24" s="36"/>
      <c r="AK24" s="37"/>
      <c r="AL24" s="43">
        <v>0.98</v>
      </c>
      <c r="AM24" s="44"/>
      <c r="AN24" s="44"/>
      <c r="AO24" s="44"/>
      <c r="AP24" s="11" t="s">
        <v>31</v>
      </c>
      <c r="AQ24" s="36"/>
      <c r="AR24" s="36"/>
      <c r="AS24" s="37"/>
      <c r="AT24" s="43">
        <v>0.97</v>
      </c>
      <c r="AU24" s="44"/>
      <c r="AV24" s="44"/>
      <c r="AW24" s="44"/>
      <c r="AX24" s="11" t="s">
        <v>31</v>
      </c>
      <c r="AY24" s="36"/>
      <c r="AZ24" s="36"/>
      <c r="BA24" s="37"/>
      <c r="BB24" s="13"/>
      <c r="BC24" s="13"/>
      <c r="BD24" s="13"/>
      <c r="BE24" s="13"/>
      <c r="BF24" s="13"/>
      <c r="BG24" s="13"/>
      <c r="BH24" s="13"/>
      <c r="BI24" s="13"/>
      <c r="BJ24" s="13"/>
      <c r="BK24" s="13"/>
      <c r="BL24" s="13"/>
      <c r="BM24" s="13"/>
      <c r="BN24" s="13"/>
      <c r="BO24" s="13"/>
    </row>
    <row r="25" spans="1:67" ht="12.2" customHeight="1">
      <c r="A25" s="32"/>
      <c r="B25" s="66">
        <v>19</v>
      </c>
      <c r="C25" s="67"/>
      <c r="D25" s="22"/>
      <c r="E25" s="24"/>
      <c r="F25" s="61" t="s">
        <v>37</v>
      </c>
      <c r="G25" s="39"/>
      <c r="H25" s="39"/>
      <c r="I25" s="39"/>
      <c r="J25" s="39"/>
      <c r="K25" s="39"/>
      <c r="L25" s="39"/>
      <c r="M25" s="39"/>
      <c r="N25" s="39"/>
      <c r="O25" s="39"/>
      <c r="P25" s="39"/>
      <c r="Q25" s="49" t="s">
        <v>99</v>
      </c>
      <c r="R25" s="49"/>
      <c r="S25" s="49"/>
      <c r="T25" s="49"/>
      <c r="U25" s="60"/>
      <c r="V25" s="209"/>
      <c r="W25" s="210"/>
      <c r="X25" s="210"/>
      <c r="Y25" s="210"/>
      <c r="Z25" s="210"/>
      <c r="AA25" s="210"/>
      <c r="AB25" s="210"/>
      <c r="AC25" s="211"/>
      <c r="AD25" s="209"/>
      <c r="AE25" s="210"/>
      <c r="AF25" s="210"/>
      <c r="AG25" s="210"/>
      <c r="AH25" s="210"/>
      <c r="AI25" s="210"/>
      <c r="AJ25" s="210"/>
      <c r="AK25" s="211"/>
      <c r="AL25" s="209"/>
      <c r="AM25" s="210"/>
      <c r="AN25" s="210"/>
      <c r="AO25" s="210"/>
      <c r="AP25" s="210"/>
      <c r="AQ25" s="210"/>
      <c r="AR25" s="210"/>
      <c r="AS25" s="211"/>
      <c r="AT25" s="209"/>
      <c r="AU25" s="210"/>
      <c r="AV25" s="210"/>
      <c r="AW25" s="210"/>
      <c r="AX25" s="210"/>
      <c r="AY25" s="210"/>
      <c r="AZ25" s="210"/>
      <c r="BA25" s="211"/>
      <c r="BB25" s="13"/>
      <c r="BC25" s="13"/>
      <c r="BD25" s="13"/>
      <c r="BE25" s="13"/>
      <c r="BF25" s="13"/>
      <c r="BG25" s="13"/>
      <c r="BH25" s="13"/>
      <c r="BI25" s="13"/>
      <c r="BJ25" s="13"/>
      <c r="BK25" s="13"/>
      <c r="BL25" s="13"/>
      <c r="BM25" s="13"/>
      <c r="BN25" s="13"/>
      <c r="BO25" s="13"/>
    </row>
    <row r="26" spans="1:67" ht="12.2" customHeight="1">
      <c r="A26" s="32"/>
      <c r="B26" s="66">
        <v>20</v>
      </c>
      <c r="C26" s="67"/>
      <c r="D26" s="22"/>
      <c r="E26" s="24"/>
      <c r="F26" s="62" t="s">
        <v>38</v>
      </c>
      <c r="G26" s="63"/>
      <c r="H26" s="63"/>
      <c r="I26" s="63"/>
      <c r="J26" s="63"/>
      <c r="K26" s="63"/>
      <c r="L26" s="63"/>
      <c r="M26" s="63"/>
      <c r="N26" s="63"/>
      <c r="O26" s="63"/>
      <c r="P26" s="63"/>
      <c r="Q26" s="18" t="str">
        <f t="shared" ref="Q26" si="4">dummy3dummyU6dummy1</f>
        <v>°C</v>
      </c>
      <c r="R26" s="18"/>
      <c r="S26" s="18"/>
      <c r="T26" s="18"/>
      <c r="U26" s="19"/>
      <c r="V26" s="217" t="str">
        <f t="shared" ref="V26" si="5">dummy3dummyD6dummy1</f>
        <v>-0,15 °C</v>
      </c>
      <c r="W26" s="218"/>
      <c r="X26" s="218"/>
      <c r="Y26" s="218"/>
      <c r="Z26" s="218"/>
      <c r="AA26" s="218"/>
      <c r="AB26" s="218"/>
      <c r="AC26" s="219"/>
      <c r="AD26" s="217" t="str">
        <f t="shared" ref="AD26" si="6">dummy3dummyV5dummy1</f>
        <v>273,05</v>
      </c>
      <c r="AE26" s="218"/>
      <c r="AF26" s="218"/>
      <c r="AG26" s="218"/>
      <c r="AH26" s="218"/>
      <c r="AI26" s="218"/>
      <c r="AJ26" s="218"/>
      <c r="AK26" s="219"/>
      <c r="AL26" s="230">
        <v>33</v>
      </c>
      <c r="AM26" s="231"/>
      <c r="AN26" s="231"/>
      <c r="AO26" s="231"/>
      <c r="AP26" s="231"/>
      <c r="AQ26" s="231"/>
      <c r="AR26" s="231"/>
      <c r="AS26" s="232"/>
      <c r="AT26" s="230">
        <v>42</v>
      </c>
      <c r="AU26" s="231"/>
      <c r="AV26" s="231"/>
      <c r="AW26" s="231"/>
      <c r="AX26" s="231"/>
      <c r="AY26" s="231"/>
      <c r="AZ26" s="231"/>
      <c r="BA26" s="232"/>
      <c r="BB26" s="13"/>
      <c r="BC26" s="13"/>
      <c r="BD26" s="13"/>
      <c r="BE26" s="13"/>
      <c r="BF26" s="13"/>
      <c r="BG26" s="13"/>
      <c r="BH26" s="13"/>
      <c r="BI26" s="13"/>
      <c r="BJ26" s="13"/>
      <c r="BK26" s="13"/>
      <c r="BL26" s="13"/>
      <c r="BM26" s="13"/>
      <c r="BN26" s="13"/>
      <c r="BO26" s="13"/>
    </row>
    <row r="27" spans="1:67" ht="12.2" customHeight="1">
      <c r="A27" s="32"/>
      <c r="B27" s="66">
        <v>21</v>
      </c>
      <c r="C27" s="67"/>
      <c r="D27" s="22"/>
      <c r="E27" s="24"/>
      <c r="F27" s="30" t="s">
        <v>39</v>
      </c>
      <c r="G27" s="31"/>
      <c r="H27" s="31"/>
      <c r="I27" s="31"/>
      <c r="J27" s="31"/>
      <c r="K27" s="31"/>
      <c r="L27" s="31"/>
      <c r="M27" s="31"/>
      <c r="N27" s="31"/>
      <c r="O27" s="31"/>
      <c r="P27" s="31"/>
      <c r="Q27" s="64" t="s">
        <v>85</v>
      </c>
      <c r="R27" s="64"/>
      <c r="S27" s="64"/>
      <c r="T27" s="64"/>
      <c r="U27" s="65"/>
      <c r="V27" s="108"/>
      <c r="W27" s="109"/>
      <c r="X27" s="109"/>
      <c r="Y27" s="109"/>
      <c r="Z27" s="109"/>
      <c r="AA27" s="109"/>
      <c r="AB27" s="109"/>
      <c r="AC27" s="110"/>
      <c r="AD27" s="108"/>
      <c r="AE27" s="109"/>
      <c r="AF27" s="109"/>
      <c r="AG27" s="109"/>
      <c r="AH27" s="109"/>
      <c r="AI27" s="109"/>
      <c r="AJ27" s="109"/>
      <c r="AK27" s="110"/>
      <c r="AL27" s="212"/>
      <c r="AM27" s="228"/>
      <c r="AN27" s="228"/>
      <c r="AO27" s="228"/>
      <c r="AP27" s="228"/>
      <c r="AQ27" s="228"/>
      <c r="AR27" s="228"/>
      <c r="AS27" s="229"/>
      <c r="AT27" s="212"/>
      <c r="AU27" s="228"/>
      <c r="AV27" s="228"/>
      <c r="AW27" s="228"/>
      <c r="AX27" s="228"/>
      <c r="AY27" s="228"/>
      <c r="AZ27" s="228"/>
      <c r="BA27" s="229"/>
      <c r="BB27" s="13"/>
      <c r="BC27" s="13"/>
      <c r="BD27" s="13"/>
      <c r="BE27" s="13"/>
      <c r="BF27" s="13"/>
      <c r="BG27" s="13"/>
      <c r="BH27" s="13"/>
      <c r="BI27" s="13"/>
      <c r="BJ27" s="13"/>
      <c r="BK27" s="13"/>
      <c r="BL27" s="13"/>
      <c r="BM27" s="13"/>
      <c r="BN27" s="13"/>
      <c r="BO27" s="13"/>
    </row>
    <row r="28" spans="1:67" ht="12.2" customHeight="1">
      <c r="A28" s="32"/>
      <c r="B28" s="66">
        <v>22</v>
      </c>
      <c r="C28" s="67"/>
      <c r="D28" s="22"/>
      <c r="E28" s="24"/>
      <c r="F28" s="61" t="s">
        <v>40</v>
      </c>
      <c r="G28" s="39"/>
      <c r="H28" s="39"/>
      <c r="I28" s="39"/>
      <c r="J28" s="39"/>
      <c r="K28" s="39"/>
      <c r="L28" s="39"/>
      <c r="M28" s="39"/>
      <c r="N28" s="39"/>
      <c r="O28" s="39"/>
      <c r="P28" s="39"/>
      <c r="Q28" s="49" t="s">
        <v>86</v>
      </c>
      <c r="R28" s="49"/>
      <c r="S28" s="49"/>
      <c r="T28" s="49"/>
      <c r="U28" s="60"/>
      <c r="V28" s="68" t="s">
        <v>41</v>
      </c>
      <c r="W28" s="69"/>
      <c r="X28" s="69"/>
      <c r="Y28" s="69"/>
      <c r="Z28" s="45">
        <v>1</v>
      </c>
      <c r="AA28" s="45"/>
      <c r="AB28" s="45"/>
      <c r="AC28" s="46"/>
      <c r="AD28" s="68" t="s">
        <v>42</v>
      </c>
      <c r="AE28" s="69"/>
      <c r="AF28" s="69"/>
      <c r="AG28" s="69"/>
      <c r="AH28" s="45"/>
      <c r="AI28" s="45"/>
      <c r="AJ28" s="45"/>
      <c r="AK28" s="46"/>
      <c r="AL28" s="68" t="s">
        <v>41</v>
      </c>
      <c r="AM28" s="69"/>
      <c r="AN28" s="69"/>
      <c r="AO28" s="69"/>
      <c r="AP28" s="45">
        <v>2</v>
      </c>
      <c r="AQ28" s="45"/>
      <c r="AR28" s="45"/>
      <c r="AS28" s="46"/>
      <c r="AT28" s="68" t="s">
        <v>42</v>
      </c>
      <c r="AU28" s="69"/>
      <c r="AV28" s="69"/>
      <c r="AW28" s="69"/>
      <c r="AX28" s="45"/>
      <c r="AY28" s="45"/>
      <c r="AZ28" s="45"/>
      <c r="BA28" s="46"/>
      <c r="BB28" s="13"/>
      <c r="BC28" s="13"/>
      <c r="BD28" s="13"/>
      <c r="BE28" s="13"/>
      <c r="BF28" s="13"/>
      <c r="BG28" s="13"/>
      <c r="BH28" s="13"/>
      <c r="BI28" s="13"/>
      <c r="BJ28" s="13"/>
      <c r="BK28" s="13"/>
      <c r="BL28" s="13"/>
      <c r="BM28" s="13"/>
      <c r="BN28" s="13"/>
      <c r="BO28" s="13"/>
    </row>
    <row r="29" spans="1:67" ht="12.2" customHeight="1">
      <c r="A29" s="32"/>
      <c r="B29" s="66">
        <v>23</v>
      </c>
      <c r="C29" s="67"/>
      <c r="D29" s="22"/>
      <c r="E29" s="24"/>
      <c r="F29" s="62" t="s">
        <v>43</v>
      </c>
      <c r="G29" s="63"/>
      <c r="H29" s="63"/>
      <c r="I29" s="63"/>
      <c r="J29" s="63"/>
      <c r="K29" s="63"/>
      <c r="L29" s="63"/>
      <c r="M29" s="63"/>
      <c r="N29" s="63"/>
      <c r="O29" s="63"/>
      <c r="P29" s="63"/>
      <c r="Q29" s="18" t="s">
        <v>87</v>
      </c>
      <c r="R29" s="18"/>
      <c r="S29" s="18"/>
      <c r="T29" s="18"/>
      <c r="U29" s="19"/>
      <c r="V29" s="145">
        <v>6</v>
      </c>
      <c r="W29" s="51"/>
      <c r="X29" s="51"/>
      <c r="Y29" s="51"/>
      <c r="Z29" s="51"/>
      <c r="AA29" s="51"/>
      <c r="AB29" s="51"/>
      <c r="AC29" s="51"/>
      <c r="AD29" s="51"/>
      <c r="AE29" s="51"/>
      <c r="AF29" s="51"/>
      <c r="AG29" s="51"/>
      <c r="AH29" s="51"/>
      <c r="AI29" s="51"/>
      <c r="AJ29" s="51"/>
      <c r="AK29" s="52"/>
      <c r="AL29" s="145">
        <v>5</v>
      </c>
      <c r="AM29" s="51"/>
      <c r="AN29" s="51"/>
      <c r="AO29" s="51"/>
      <c r="AP29" s="51"/>
      <c r="AQ29" s="51"/>
      <c r="AR29" s="51"/>
      <c r="AS29" s="51"/>
      <c r="AT29" s="51"/>
      <c r="AU29" s="51"/>
      <c r="AV29" s="51"/>
      <c r="AW29" s="51"/>
      <c r="AX29" s="51"/>
      <c r="AY29" s="51"/>
      <c r="AZ29" s="51"/>
      <c r="BA29" s="52"/>
      <c r="BB29" s="13"/>
      <c r="BC29" s="13"/>
      <c r="BD29" s="13"/>
      <c r="BE29" s="13"/>
      <c r="BF29" s="13"/>
      <c r="BG29" s="13"/>
      <c r="BH29" s="13"/>
      <c r="BI29" s="13"/>
      <c r="BJ29" s="13"/>
      <c r="BK29" s="13"/>
      <c r="BL29" s="13"/>
      <c r="BM29" s="13"/>
      <c r="BN29" s="13"/>
      <c r="BO29" s="13"/>
    </row>
    <row r="30" spans="1:67" ht="12.2" customHeight="1">
      <c r="A30" s="32"/>
      <c r="B30" s="66">
        <v>24</v>
      </c>
      <c r="C30" s="67"/>
      <c r="D30" s="22"/>
      <c r="E30" s="24"/>
      <c r="F30" s="30" t="s">
        <v>44</v>
      </c>
      <c r="G30" s="31"/>
      <c r="H30" s="31"/>
      <c r="I30" s="31"/>
      <c r="J30" s="31"/>
      <c r="K30" s="31"/>
      <c r="L30" s="31"/>
      <c r="M30" s="31"/>
      <c r="N30" s="31"/>
      <c r="O30" s="31"/>
      <c r="P30" s="31"/>
      <c r="Q30" s="64" t="s">
        <v>88</v>
      </c>
      <c r="R30" s="64"/>
      <c r="S30" s="64"/>
      <c r="T30" s="64"/>
      <c r="U30" s="65"/>
      <c r="V30" s="115">
        <v>1E-4</v>
      </c>
      <c r="W30" s="116"/>
      <c r="X30" s="116"/>
      <c r="Y30" s="116"/>
      <c r="Z30" s="116"/>
      <c r="AA30" s="116"/>
      <c r="AB30" s="116"/>
      <c r="AC30" s="116"/>
      <c r="AD30" s="116"/>
      <c r="AE30" s="116"/>
      <c r="AF30" s="116"/>
      <c r="AG30" s="116"/>
      <c r="AH30" s="116"/>
      <c r="AI30" s="116"/>
      <c r="AJ30" s="116"/>
      <c r="AK30" s="117"/>
      <c r="AL30" s="115">
        <v>4.0000000000000002E-4</v>
      </c>
      <c r="AM30" s="116"/>
      <c r="AN30" s="116"/>
      <c r="AO30" s="116"/>
      <c r="AP30" s="116"/>
      <c r="AQ30" s="116"/>
      <c r="AR30" s="116"/>
      <c r="AS30" s="116"/>
      <c r="AT30" s="116"/>
      <c r="AU30" s="116"/>
      <c r="AV30" s="116"/>
      <c r="AW30" s="116"/>
      <c r="AX30" s="116"/>
      <c r="AY30" s="116"/>
      <c r="AZ30" s="116"/>
      <c r="BA30" s="117"/>
      <c r="BB30" s="13"/>
      <c r="BC30" s="13"/>
      <c r="BD30" s="13"/>
      <c r="BE30" s="13"/>
      <c r="BF30" s="13"/>
      <c r="BG30" s="13"/>
      <c r="BH30" s="13"/>
      <c r="BI30" s="13"/>
      <c r="BJ30" s="13"/>
      <c r="BK30" s="13"/>
      <c r="BL30" s="13"/>
      <c r="BM30" s="13"/>
      <c r="BN30" s="13"/>
      <c r="BO30" s="13"/>
    </row>
    <row r="31" spans="1:67" ht="12.2" customHeight="1">
      <c r="A31" s="32"/>
      <c r="B31" s="66">
        <v>25</v>
      </c>
      <c r="C31" s="67"/>
      <c r="D31" s="22"/>
      <c r="E31" s="24"/>
      <c r="F31" s="61" t="s">
        <v>45</v>
      </c>
      <c r="G31" s="39"/>
      <c r="H31" s="39"/>
      <c r="I31" s="39"/>
      <c r="J31" s="39"/>
      <c r="K31" s="39"/>
      <c r="L31" s="39"/>
      <c r="M31" s="39"/>
      <c r="N31" s="39"/>
      <c r="O31" s="39"/>
      <c r="P31" s="39"/>
      <c r="Q31" s="49" t="s">
        <v>89</v>
      </c>
      <c r="R31" s="49"/>
      <c r="S31" s="49"/>
      <c r="T31" s="49"/>
      <c r="U31" s="60"/>
      <c r="V31" s="70"/>
      <c r="W31" s="71"/>
      <c r="X31" s="71"/>
      <c r="Y31" s="71"/>
      <c r="Z31" s="71"/>
      <c r="AA31" s="71"/>
      <c r="AB31" s="71"/>
      <c r="AC31" s="71"/>
      <c r="AD31" s="71"/>
      <c r="AE31" s="71"/>
      <c r="AF31" s="71"/>
      <c r="AG31" s="71"/>
      <c r="AH31" s="71"/>
      <c r="AI31" s="71"/>
      <c r="AJ31" s="71"/>
      <c r="AK31" s="72"/>
      <c r="AL31" s="70"/>
      <c r="AM31" s="71"/>
      <c r="AN31" s="71"/>
      <c r="AO31" s="71"/>
      <c r="AP31" s="71"/>
      <c r="AQ31" s="71"/>
      <c r="AR31" s="71"/>
      <c r="AS31" s="71"/>
      <c r="AT31" s="71"/>
      <c r="AU31" s="71"/>
      <c r="AV31" s="71"/>
      <c r="AW31" s="71"/>
      <c r="AX31" s="71"/>
      <c r="AY31" s="71"/>
      <c r="AZ31" s="71"/>
      <c r="BA31" s="72"/>
      <c r="BB31" s="13"/>
      <c r="BC31" s="13"/>
      <c r="BD31" s="13"/>
      <c r="BE31" s="13"/>
      <c r="BF31" s="13"/>
      <c r="BG31" s="13"/>
      <c r="BH31" s="13"/>
      <c r="BI31" s="13"/>
      <c r="BJ31" s="13"/>
      <c r="BK31" s="13"/>
      <c r="BL31" s="13"/>
      <c r="BM31" s="13"/>
      <c r="BN31" s="13"/>
      <c r="BO31" s="13"/>
    </row>
    <row r="32" spans="1:67" ht="12.2" customHeight="1">
      <c r="A32" s="32"/>
      <c r="B32" s="66">
        <v>26</v>
      </c>
      <c r="C32" s="67"/>
      <c r="D32" s="22"/>
      <c r="E32" s="24"/>
      <c r="F32" s="62" t="s">
        <v>46</v>
      </c>
      <c r="G32" s="63"/>
      <c r="H32" s="63"/>
      <c r="I32" s="63"/>
      <c r="J32" s="63"/>
      <c r="K32" s="63"/>
      <c r="L32" s="21" t="s">
        <v>47</v>
      </c>
      <c r="M32" s="21"/>
      <c r="N32" s="21"/>
      <c r="O32" s="21"/>
      <c r="P32" s="21"/>
      <c r="Q32" s="18" t="s">
        <v>90</v>
      </c>
      <c r="R32" s="18"/>
      <c r="S32" s="18"/>
      <c r="T32" s="18"/>
      <c r="U32" s="18"/>
      <c r="V32" s="63" t="s">
        <v>48</v>
      </c>
      <c r="W32" s="63"/>
      <c r="X32" s="63"/>
      <c r="Y32" s="63"/>
      <c r="Z32" s="63"/>
      <c r="AA32" s="21"/>
      <c r="AB32" s="21"/>
      <c r="AC32" s="21"/>
      <c r="AD32" s="21"/>
      <c r="AE32" s="21"/>
      <c r="AF32" s="21"/>
      <c r="AG32" s="21"/>
      <c r="AH32" s="21"/>
      <c r="AI32" s="21"/>
      <c r="AJ32" s="18" t="s">
        <v>91</v>
      </c>
      <c r="AK32" s="19"/>
      <c r="AL32" s="159" t="s">
        <v>49</v>
      </c>
      <c r="AM32" s="160"/>
      <c r="AN32" s="160"/>
      <c r="AO32" s="160"/>
      <c r="AP32" s="160"/>
      <c r="AQ32" s="160"/>
      <c r="AR32" s="160"/>
      <c r="AS32" s="160"/>
      <c r="AT32" s="220">
        <v>110</v>
      </c>
      <c r="AU32" s="220"/>
      <c r="AV32" s="220"/>
      <c r="AW32" s="220"/>
      <c r="AX32" s="220"/>
      <c r="AY32" s="220"/>
      <c r="AZ32" s="214" t="s">
        <v>50</v>
      </c>
      <c r="BA32" s="215"/>
      <c r="BB32" s="13"/>
      <c r="BC32" s="13"/>
      <c r="BD32" s="13"/>
      <c r="BE32" s="13"/>
      <c r="BF32" s="13"/>
      <c r="BG32" s="13"/>
      <c r="BH32" s="13"/>
      <c r="BI32" s="13"/>
      <c r="BJ32" s="13"/>
      <c r="BK32" s="13"/>
      <c r="BL32" s="13"/>
      <c r="BM32" s="13"/>
      <c r="BN32" s="13"/>
      <c r="BO32" s="13"/>
    </row>
    <row r="33" spans="1:67" ht="12.2" customHeight="1">
      <c r="A33" s="32"/>
      <c r="B33" s="66">
        <v>27</v>
      </c>
      <c r="C33" s="67"/>
      <c r="D33" s="22"/>
      <c r="E33" s="24"/>
      <c r="F33" s="61" t="s">
        <v>51</v>
      </c>
      <c r="G33" s="39"/>
      <c r="H33" s="39"/>
      <c r="I33" s="39"/>
      <c r="J33" s="39"/>
      <c r="K33" s="39"/>
      <c r="L33" s="39"/>
      <c r="M33" s="39"/>
      <c r="N33" s="39"/>
      <c r="O33" s="39"/>
      <c r="P33" s="39"/>
      <c r="Q33" s="49" t="s">
        <v>89</v>
      </c>
      <c r="R33" s="49"/>
      <c r="S33" s="49"/>
      <c r="T33" s="49"/>
      <c r="U33" s="49"/>
      <c r="V33" s="39" t="s">
        <v>52</v>
      </c>
      <c r="W33" s="39"/>
      <c r="X33" s="39"/>
      <c r="Y33" s="40"/>
      <c r="Z33" s="40"/>
      <c r="AA33" s="40"/>
      <c r="AB33" s="40"/>
      <c r="AC33" s="40"/>
      <c r="AD33" s="39" t="s">
        <v>53</v>
      </c>
      <c r="AE33" s="39"/>
      <c r="AF33" s="39"/>
      <c r="AG33" s="40"/>
      <c r="AH33" s="40"/>
      <c r="AI33" s="40"/>
      <c r="AJ33" s="40"/>
      <c r="AK33" s="180"/>
      <c r="AL33" s="83" t="s">
        <v>1</v>
      </c>
      <c r="AM33" s="84"/>
      <c r="AN33" s="84"/>
      <c r="AO33" s="84"/>
      <c r="AP33" s="84"/>
      <c r="AQ33" s="84"/>
      <c r="AR33" s="84"/>
      <c r="AS33" s="84"/>
      <c r="AT33" s="84"/>
      <c r="AU33" s="84"/>
      <c r="AV33" s="84"/>
      <c r="AW33" s="84"/>
      <c r="AX33" s="84"/>
      <c r="AY33" s="84"/>
      <c r="AZ33" s="84"/>
      <c r="BA33" s="106"/>
      <c r="BB33" s="13"/>
      <c r="BC33" s="13"/>
      <c r="BD33" s="13"/>
      <c r="BE33" s="13"/>
      <c r="BF33" s="13"/>
      <c r="BG33" s="13"/>
      <c r="BH33" s="13"/>
      <c r="BI33" s="13"/>
      <c r="BJ33" s="13"/>
      <c r="BK33" s="13"/>
      <c r="BL33" s="13"/>
      <c r="BM33" s="13"/>
      <c r="BN33" s="13"/>
      <c r="BO33" s="13"/>
    </row>
    <row r="34" spans="1:67" ht="12.2" customHeight="1">
      <c r="A34" s="32"/>
      <c r="B34" s="66">
        <v>28</v>
      </c>
      <c r="C34" s="67"/>
      <c r="D34" s="22"/>
      <c r="E34" s="24"/>
      <c r="F34" s="147" t="s">
        <v>54</v>
      </c>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9"/>
      <c r="AL34" s="173"/>
      <c r="AM34" s="174"/>
      <c r="AN34" s="174"/>
      <c r="AO34" s="174"/>
      <c r="AP34" s="174"/>
      <c r="AQ34" s="174"/>
      <c r="AR34" s="174"/>
      <c r="AS34" s="174"/>
      <c r="AT34" s="174"/>
      <c r="AU34" s="174"/>
      <c r="AV34" s="174"/>
      <c r="AW34" s="174"/>
      <c r="AX34" s="174"/>
      <c r="AY34" s="174"/>
      <c r="AZ34" s="174"/>
      <c r="BA34" s="175"/>
      <c r="BB34" s="13"/>
      <c r="BC34" s="13"/>
      <c r="BD34" s="13"/>
      <c r="BE34" s="13"/>
      <c r="BF34" s="13"/>
      <c r="BG34" s="13"/>
      <c r="BH34" s="13"/>
      <c r="BI34" s="13"/>
      <c r="BJ34" s="13"/>
      <c r="BK34" s="13"/>
      <c r="BL34" s="13"/>
      <c r="BM34" s="13"/>
      <c r="BN34" s="13"/>
      <c r="BO34" s="13"/>
    </row>
    <row r="35" spans="1:67" ht="12.2" customHeight="1">
      <c r="A35" s="32"/>
      <c r="B35" s="66">
        <v>29</v>
      </c>
      <c r="C35" s="67"/>
      <c r="D35" s="22"/>
      <c r="E35" s="24"/>
      <c r="F35" s="62" t="s">
        <v>1</v>
      </c>
      <c r="G35" s="63"/>
      <c r="H35" s="63"/>
      <c r="I35" s="63"/>
      <c r="J35" s="63"/>
      <c r="K35" s="63"/>
      <c r="L35" s="63"/>
      <c r="M35" s="63"/>
      <c r="N35" s="63"/>
      <c r="O35" s="63"/>
      <c r="P35" s="63"/>
      <c r="Q35" s="63"/>
      <c r="R35" s="63"/>
      <c r="S35" s="181"/>
      <c r="T35" s="147" t="s">
        <v>55</v>
      </c>
      <c r="U35" s="148"/>
      <c r="V35" s="148"/>
      <c r="W35" s="148"/>
      <c r="X35" s="148"/>
      <c r="Y35" s="148"/>
      <c r="Z35" s="148"/>
      <c r="AA35" s="148"/>
      <c r="AB35" s="149"/>
      <c r="AC35" s="147" t="s">
        <v>56</v>
      </c>
      <c r="AD35" s="148"/>
      <c r="AE35" s="148"/>
      <c r="AF35" s="148"/>
      <c r="AG35" s="148"/>
      <c r="AH35" s="148"/>
      <c r="AI35" s="148"/>
      <c r="AJ35" s="148"/>
      <c r="AK35" s="149"/>
      <c r="AL35" s="173"/>
      <c r="AM35" s="174"/>
      <c r="AN35" s="174"/>
      <c r="AO35" s="174"/>
      <c r="AP35" s="174"/>
      <c r="AQ35" s="174"/>
      <c r="AR35" s="174"/>
      <c r="AS35" s="174"/>
      <c r="AT35" s="174"/>
      <c r="AU35" s="174"/>
      <c r="AV35" s="174"/>
      <c r="AW35" s="174"/>
      <c r="AX35" s="174"/>
      <c r="AY35" s="174"/>
      <c r="AZ35" s="174"/>
      <c r="BA35" s="175"/>
      <c r="BB35" s="13"/>
      <c r="BC35" s="13"/>
      <c r="BD35" s="13"/>
      <c r="BE35" s="13"/>
      <c r="BF35" s="13"/>
      <c r="BG35" s="13"/>
      <c r="BH35" s="13"/>
      <c r="BI35" s="13"/>
      <c r="BJ35" s="13"/>
      <c r="BK35" s="13"/>
      <c r="BL35" s="13"/>
      <c r="BM35" s="13"/>
      <c r="BN35" s="13"/>
      <c r="BO35" s="13"/>
    </row>
    <row r="36" spans="1:67" ht="12.2" customHeight="1">
      <c r="A36" s="32"/>
      <c r="B36" s="66">
        <v>30</v>
      </c>
      <c r="C36" s="67"/>
      <c r="D36" s="22"/>
      <c r="E36" s="24"/>
      <c r="F36" s="30" t="s">
        <v>57</v>
      </c>
      <c r="G36" s="31"/>
      <c r="H36" s="31"/>
      <c r="I36" s="31"/>
      <c r="J36" s="31"/>
      <c r="K36" s="31"/>
      <c r="L36" s="31"/>
      <c r="M36" s="31"/>
      <c r="N36" s="31"/>
      <c r="O36" s="31"/>
      <c r="P36" s="64" t="s">
        <v>87</v>
      </c>
      <c r="Q36" s="64"/>
      <c r="R36" s="64"/>
      <c r="S36" s="65"/>
      <c r="T36" s="130"/>
      <c r="U36" s="131"/>
      <c r="V36" s="131"/>
      <c r="W36" s="131"/>
      <c r="X36" s="8" t="s">
        <v>31</v>
      </c>
      <c r="Y36" s="114"/>
      <c r="Z36" s="114"/>
      <c r="AA36" s="114"/>
      <c r="AB36" s="162"/>
      <c r="AC36" s="130"/>
      <c r="AD36" s="131"/>
      <c r="AE36" s="131"/>
      <c r="AF36" s="131"/>
      <c r="AG36" s="8" t="s">
        <v>31</v>
      </c>
      <c r="AH36" s="114"/>
      <c r="AI36" s="114"/>
      <c r="AJ36" s="114"/>
      <c r="AK36" s="162"/>
      <c r="AL36" s="173"/>
      <c r="AM36" s="174"/>
      <c r="AN36" s="174"/>
      <c r="AO36" s="174"/>
      <c r="AP36" s="174"/>
      <c r="AQ36" s="174"/>
      <c r="AR36" s="174"/>
      <c r="AS36" s="174"/>
      <c r="AT36" s="174"/>
      <c r="AU36" s="174"/>
      <c r="AV36" s="174"/>
      <c r="AW36" s="174"/>
      <c r="AX36" s="174"/>
      <c r="AY36" s="174"/>
      <c r="AZ36" s="174"/>
      <c r="BA36" s="175"/>
      <c r="BB36" s="13"/>
      <c r="BC36" s="13"/>
      <c r="BD36" s="13"/>
      <c r="BE36" s="13"/>
      <c r="BF36" s="13"/>
      <c r="BG36" s="13"/>
      <c r="BH36" s="13"/>
      <c r="BI36" s="13"/>
      <c r="BJ36" s="13"/>
      <c r="BK36" s="13"/>
      <c r="BL36" s="13"/>
      <c r="BM36" s="13"/>
      <c r="BN36" s="13"/>
      <c r="BO36" s="13"/>
    </row>
    <row r="37" spans="1:67" ht="12.2" customHeight="1">
      <c r="A37" s="32"/>
      <c r="B37" s="66">
        <v>31</v>
      </c>
      <c r="C37" s="67"/>
      <c r="D37" s="22"/>
      <c r="E37" s="24"/>
      <c r="F37" s="30" t="s">
        <v>58</v>
      </c>
      <c r="G37" s="31"/>
      <c r="H37" s="31"/>
      <c r="I37" s="31"/>
      <c r="J37" s="31"/>
      <c r="K37" s="31"/>
      <c r="L37" s="31"/>
      <c r="M37" s="31"/>
      <c r="N37" s="31"/>
      <c r="O37" s="31"/>
      <c r="P37" s="64" t="s">
        <v>91</v>
      </c>
      <c r="Q37" s="64"/>
      <c r="R37" s="64"/>
      <c r="S37" s="65"/>
      <c r="T37" s="22"/>
      <c r="U37" s="23"/>
      <c r="V37" s="23"/>
      <c r="W37" s="23"/>
      <c r="X37" s="23"/>
      <c r="Y37" s="23"/>
      <c r="Z37" s="23"/>
      <c r="AA37" s="23"/>
      <c r="AB37" s="24"/>
      <c r="AC37" s="22"/>
      <c r="AD37" s="23"/>
      <c r="AE37" s="23"/>
      <c r="AF37" s="23"/>
      <c r="AG37" s="23"/>
      <c r="AH37" s="23"/>
      <c r="AI37" s="23"/>
      <c r="AJ37" s="23"/>
      <c r="AK37" s="24"/>
      <c r="AL37" s="173"/>
      <c r="AM37" s="174"/>
      <c r="AN37" s="174"/>
      <c r="AO37" s="174"/>
      <c r="AP37" s="174"/>
      <c r="AQ37" s="174"/>
      <c r="AR37" s="174"/>
      <c r="AS37" s="174"/>
      <c r="AT37" s="174"/>
      <c r="AU37" s="174"/>
      <c r="AV37" s="174"/>
      <c r="AW37" s="174"/>
      <c r="AX37" s="174"/>
      <c r="AY37" s="174"/>
      <c r="AZ37" s="174"/>
      <c r="BA37" s="175"/>
      <c r="BB37" s="13"/>
      <c r="BC37" s="13"/>
      <c r="BD37" s="13"/>
      <c r="BE37" s="13"/>
      <c r="BF37" s="13"/>
      <c r="BG37" s="13"/>
      <c r="BH37" s="13"/>
      <c r="BI37" s="13"/>
      <c r="BJ37" s="13"/>
      <c r="BK37" s="13"/>
      <c r="BL37" s="13"/>
      <c r="BM37" s="13"/>
      <c r="BN37" s="13"/>
      <c r="BO37" s="13"/>
    </row>
    <row r="38" spans="1:67" ht="12.2" customHeight="1">
      <c r="A38" s="32"/>
      <c r="B38" s="66">
        <v>32</v>
      </c>
      <c r="C38" s="67"/>
      <c r="D38" s="22"/>
      <c r="E38" s="24"/>
      <c r="F38" s="30" t="s">
        <v>59</v>
      </c>
      <c r="G38" s="31"/>
      <c r="H38" s="31"/>
      <c r="I38" s="31"/>
      <c r="J38" s="31"/>
      <c r="K38" s="31"/>
      <c r="L38" s="31"/>
      <c r="M38" s="31"/>
      <c r="N38" s="31"/>
      <c r="O38" s="31"/>
      <c r="P38" s="31"/>
      <c r="Q38" s="31"/>
      <c r="R38" s="31"/>
      <c r="S38" s="56"/>
      <c r="T38" s="22"/>
      <c r="U38" s="23"/>
      <c r="V38" s="23"/>
      <c r="W38" s="23"/>
      <c r="X38" s="23"/>
      <c r="Y38" s="23"/>
      <c r="Z38" s="23"/>
      <c r="AA38" s="23"/>
      <c r="AB38" s="24"/>
      <c r="AC38" s="22"/>
      <c r="AD38" s="23"/>
      <c r="AE38" s="23"/>
      <c r="AF38" s="23"/>
      <c r="AG38" s="23"/>
      <c r="AH38" s="23"/>
      <c r="AI38" s="23"/>
      <c r="AJ38" s="23"/>
      <c r="AK38" s="24"/>
      <c r="AL38" s="173"/>
      <c r="AM38" s="174"/>
      <c r="AN38" s="174"/>
      <c r="AO38" s="174"/>
      <c r="AP38" s="174"/>
      <c r="AQ38" s="174"/>
      <c r="AR38" s="174"/>
      <c r="AS38" s="174"/>
      <c r="AT38" s="174"/>
      <c r="AU38" s="174"/>
      <c r="AV38" s="174"/>
      <c r="AW38" s="174"/>
      <c r="AX38" s="174"/>
      <c r="AY38" s="174"/>
      <c r="AZ38" s="174"/>
      <c r="BA38" s="175"/>
      <c r="BB38" s="13"/>
      <c r="BC38" s="13"/>
      <c r="BD38" s="13"/>
      <c r="BE38" s="13"/>
      <c r="BF38" s="13"/>
      <c r="BG38" s="13"/>
      <c r="BH38" s="13"/>
      <c r="BI38" s="13"/>
      <c r="BJ38" s="13"/>
      <c r="BK38" s="13"/>
      <c r="BL38" s="13"/>
      <c r="BM38" s="13"/>
      <c r="BN38" s="13"/>
      <c r="BO38" s="13"/>
    </row>
    <row r="39" spans="1:67" ht="12.2" customHeight="1">
      <c r="A39" s="32"/>
      <c r="B39" s="66">
        <v>33</v>
      </c>
      <c r="C39" s="67"/>
      <c r="D39" s="22"/>
      <c r="E39" s="24"/>
      <c r="F39" s="30" t="s">
        <v>60</v>
      </c>
      <c r="G39" s="31"/>
      <c r="H39" s="31"/>
      <c r="I39" s="31"/>
      <c r="J39" s="31"/>
      <c r="K39" s="31"/>
      <c r="L39" s="31"/>
      <c r="M39" s="31"/>
      <c r="N39" s="31"/>
      <c r="O39" s="31"/>
      <c r="P39" s="31"/>
      <c r="Q39" s="31"/>
      <c r="R39" s="31"/>
      <c r="S39" s="56"/>
      <c r="T39" s="22"/>
      <c r="U39" s="23"/>
      <c r="V39" s="23"/>
      <c r="W39" s="23"/>
      <c r="X39" s="23"/>
      <c r="Y39" s="23"/>
      <c r="Z39" s="23"/>
      <c r="AA39" s="23"/>
      <c r="AB39" s="24"/>
      <c r="AC39" s="22"/>
      <c r="AD39" s="23"/>
      <c r="AE39" s="23"/>
      <c r="AF39" s="23"/>
      <c r="AG39" s="23"/>
      <c r="AH39" s="23"/>
      <c r="AI39" s="23"/>
      <c r="AJ39" s="23"/>
      <c r="AK39" s="24"/>
      <c r="AL39" s="173"/>
      <c r="AM39" s="174"/>
      <c r="AN39" s="174"/>
      <c r="AO39" s="174"/>
      <c r="AP39" s="174"/>
      <c r="AQ39" s="174"/>
      <c r="AR39" s="174"/>
      <c r="AS39" s="174"/>
      <c r="AT39" s="174"/>
      <c r="AU39" s="174"/>
      <c r="AV39" s="174"/>
      <c r="AW39" s="174"/>
      <c r="AX39" s="174"/>
      <c r="AY39" s="174"/>
      <c r="AZ39" s="174"/>
      <c r="BA39" s="175"/>
      <c r="BB39" s="13"/>
      <c r="BC39" s="13"/>
      <c r="BD39" s="13"/>
      <c r="BE39" s="13"/>
      <c r="BF39" s="13"/>
      <c r="BG39" s="13"/>
      <c r="BH39" s="13"/>
      <c r="BI39" s="13"/>
      <c r="BJ39" s="13"/>
      <c r="BK39" s="13"/>
      <c r="BL39" s="13"/>
      <c r="BM39" s="13"/>
      <c r="BN39" s="13"/>
      <c r="BO39" s="13"/>
    </row>
    <row r="40" spans="1:67" ht="12.2" customHeight="1">
      <c r="A40" s="32"/>
      <c r="B40" s="66">
        <v>34</v>
      </c>
      <c r="C40" s="67"/>
      <c r="D40" s="22"/>
      <c r="E40" s="24"/>
      <c r="F40" s="136" t="s">
        <v>61</v>
      </c>
      <c r="G40" s="137"/>
      <c r="H40" s="137"/>
      <c r="I40" s="137"/>
      <c r="J40" s="138"/>
      <c r="K40" s="31" t="s">
        <v>62</v>
      </c>
      <c r="L40" s="31"/>
      <c r="M40" s="31"/>
      <c r="N40" s="31"/>
      <c r="O40" s="31"/>
      <c r="P40" s="119" t="s">
        <v>92</v>
      </c>
      <c r="Q40" s="119"/>
      <c r="R40" s="119"/>
      <c r="S40" s="120"/>
      <c r="T40" s="22"/>
      <c r="U40" s="23"/>
      <c r="V40" s="23"/>
      <c r="W40" s="23"/>
      <c r="X40" s="23"/>
      <c r="Y40" s="23"/>
      <c r="Z40" s="23"/>
      <c r="AA40" s="23"/>
      <c r="AB40" s="24"/>
      <c r="AC40" s="22"/>
      <c r="AD40" s="23"/>
      <c r="AE40" s="23"/>
      <c r="AF40" s="23"/>
      <c r="AG40" s="23"/>
      <c r="AH40" s="23"/>
      <c r="AI40" s="23"/>
      <c r="AJ40" s="23"/>
      <c r="AK40" s="24"/>
      <c r="AL40" s="173"/>
      <c r="AM40" s="174"/>
      <c r="AN40" s="174"/>
      <c r="AO40" s="174"/>
      <c r="AP40" s="174"/>
      <c r="AQ40" s="174"/>
      <c r="AR40" s="174"/>
      <c r="AS40" s="174"/>
      <c r="AT40" s="174"/>
      <c r="AU40" s="174"/>
      <c r="AV40" s="174"/>
      <c r="AW40" s="174"/>
      <c r="AX40" s="174"/>
      <c r="AY40" s="174"/>
      <c r="AZ40" s="174"/>
      <c r="BA40" s="175"/>
      <c r="BB40" s="13"/>
      <c r="BC40" s="13"/>
      <c r="BD40" s="13"/>
      <c r="BE40" s="13"/>
      <c r="BF40" s="13"/>
      <c r="BG40" s="13"/>
      <c r="BH40" s="13"/>
      <c r="BI40" s="13"/>
      <c r="BJ40" s="13"/>
      <c r="BK40" s="13"/>
      <c r="BL40" s="13"/>
      <c r="BM40" s="13"/>
      <c r="BN40" s="13"/>
      <c r="BO40" s="13"/>
    </row>
    <row r="41" spans="1:67" ht="12.2" customHeight="1">
      <c r="A41" s="32"/>
      <c r="B41" s="66">
        <v>35</v>
      </c>
      <c r="C41" s="67"/>
      <c r="D41" s="22"/>
      <c r="E41" s="24"/>
      <c r="F41" s="139"/>
      <c r="G41" s="140"/>
      <c r="H41" s="140"/>
      <c r="I41" s="140"/>
      <c r="J41" s="141"/>
      <c r="K41" s="31" t="s">
        <v>63</v>
      </c>
      <c r="L41" s="31"/>
      <c r="M41" s="31"/>
      <c r="N41" s="31"/>
      <c r="O41" s="31"/>
      <c r="P41" s="119" t="s">
        <v>92</v>
      </c>
      <c r="Q41" s="119"/>
      <c r="R41" s="119"/>
      <c r="S41" s="120"/>
      <c r="T41" s="22"/>
      <c r="U41" s="23"/>
      <c r="V41" s="23"/>
      <c r="W41" s="23"/>
      <c r="X41" s="23"/>
      <c r="Y41" s="23"/>
      <c r="Z41" s="23"/>
      <c r="AA41" s="23"/>
      <c r="AB41" s="24"/>
      <c r="AC41" s="22"/>
      <c r="AD41" s="23"/>
      <c r="AE41" s="23"/>
      <c r="AF41" s="23"/>
      <c r="AG41" s="23"/>
      <c r="AH41" s="23"/>
      <c r="AI41" s="23"/>
      <c r="AJ41" s="23"/>
      <c r="AK41" s="24"/>
      <c r="AL41" s="173"/>
      <c r="AM41" s="174"/>
      <c r="AN41" s="174"/>
      <c r="AO41" s="174"/>
      <c r="AP41" s="174"/>
      <c r="AQ41" s="174"/>
      <c r="AR41" s="174"/>
      <c r="AS41" s="174"/>
      <c r="AT41" s="174"/>
      <c r="AU41" s="174"/>
      <c r="AV41" s="174"/>
      <c r="AW41" s="174"/>
      <c r="AX41" s="174"/>
      <c r="AY41" s="174"/>
      <c r="AZ41" s="174"/>
      <c r="BA41" s="175"/>
      <c r="BB41" s="13"/>
      <c r="BC41" s="13"/>
      <c r="BD41" s="13"/>
      <c r="BE41" s="13"/>
      <c r="BF41" s="13"/>
      <c r="BG41" s="13"/>
      <c r="BH41" s="13"/>
      <c r="BI41" s="13"/>
      <c r="BJ41" s="13"/>
      <c r="BK41" s="13"/>
      <c r="BL41" s="13"/>
      <c r="BM41" s="13"/>
      <c r="BN41" s="13"/>
      <c r="BO41" s="13"/>
    </row>
    <row r="42" spans="1:67" ht="12.2" customHeight="1">
      <c r="A42" s="32"/>
      <c r="B42" s="66">
        <v>36</v>
      </c>
      <c r="C42" s="67"/>
      <c r="D42" s="22"/>
      <c r="E42" s="24"/>
      <c r="F42" s="142"/>
      <c r="G42" s="143"/>
      <c r="H42" s="143"/>
      <c r="I42" s="143"/>
      <c r="J42" s="144"/>
      <c r="K42" s="118" t="s">
        <v>64</v>
      </c>
      <c r="L42" s="118"/>
      <c r="M42" s="118"/>
      <c r="N42" s="118"/>
      <c r="O42" s="118"/>
      <c r="P42" s="121" t="s">
        <v>92</v>
      </c>
      <c r="Q42" s="121"/>
      <c r="R42" s="121"/>
      <c r="S42" s="122"/>
      <c r="T42" s="111"/>
      <c r="U42" s="112"/>
      <c r="V42" s="112"/>
      <c r="W42" s="112"/>
      <c r="X42" s="112"/>
      <c r="Y42" s="112"/>
      <c r="Z42" s="112"/>
      <c r="AA42" s="112"/>
      <c r="AB42" s="113"/>
      <c r="AC42" s="111"/>
      <c r="AD42" s="112"/>
      <c r="AE42" s="112"/>
      <c r="AF42" s="112"/>
      <c r="AG42" s="112"/>
      <c r="AH42" s="112"/>
      <c r="AI42" s="112"/>
      <c r="AJ42" s="112"/>
      <c r="AK42" s="113"/>
      <c r="AL42" s="173"/>
      <c r="AM42" s="174"/>
      <c r="AN42" s="174"/>
      <c r="AO42" s="174"/>
      <c r="AP42" s="174"/>
      <c r="AQ42" s="174"/>
      <c r="AR42" s="174"/>
      <c r="AS42" s="174"/>
      <c r="AT42" s="174"/>
      <c r="AU42" s="174"/>
      <c r="AV42" s="174"/>
      <c r="AW42" s="174"/>
      <c r="AX42" s="174"/>
      <c r="AY42" s="174"/>
      <c r="AZ42" s="174"/>
      <c r="BA42" s="175"/>
      <c r="BB42" s="13"/>
      <c r="BC42" s="13"/>
      <c r="BD42" s="13"/>
      <c r="BE42" s="13"/>
      <c r="BF42" s="13"/>
      <c r="BG42" s="13"/>
      <c r="BH42" s="13"/>
      <c r="BI42" s="13"/>
      <c r="BJ42" s="13"/>
      <c r="BK42" s="13"/>
      <c r="BL42" s="13"/>
      <c r="BM42" s="13"/>
      <c r="BN42" s="13"/>
      <c r="BO42" s="13"/>
    </row>
    <row r="43" spans="1:67" ht="12.2" customHeight="1">
      <c r="A43" s="32"/>
      <c r="B43" s="66">
        <v>37</v>
      </c>
      <c r="C43" s="67"/>
      <c r="D43" s="22"/>
      <c r="E43" s="24"/>
      <c r="F43" s="62" t="s">
        <v>65</v>
      </c>
      <c r="G43" s="63"/>
      <c r="H43" s="63"/>
      <c r="I43" s="63"/>
      <c r="J43" s="63"/>
      <c r="K43" s="114"/>
      <c r="L43" s="114"/>
      <c r="M43" s="114"/>
      <c r="N43" s="114"/>
      <c r="O43" s="114"/>
      <c r="P43" s="114"/>
      <c r="Q43" s="114"/>
      <c r="R43" s="114"/>
      <c r="S43" s="114"/>
      <c r="T43" s="63" t="s">
        <v>66</v>
      </c>
      <c r="U43" s="63"/>
      <c r="V43" s="63"/>
      <c r="W43" s="63"/>
      <c r="X43" s="63"/>
      <c r="Y43" s="63"/>
      <c r="Z43" s="21"/>
      <c r="AA43" s="21"/>
      <c r="AB43" s="21"/>
      <c r="AC43" s="21"/>
      <c r="AD43" s="21"/>
      <c r="AE43" s="21"/>
      <c r="AF43" s="21"/>
      <c r="AG43" s="21"/>
      <c r="AH43" s="21"/>
      <c r="AI43" s="21"/>
      <c r="AJ43" s="132" t="str">
        <f>[1]UOM!B27</f>
        <v>mm</v>
      </c>
      <c r="AK43" s="133"/>
      <c r="AL43" s="173"/>
      <c r="AM43" s="174"/>
      <c r="AN43" s="174"/>
      <c r="AO43" s="174"/>
      <c r="AP43" s="174"/>
      <c r="AQ43" s="174"/>
      <c r="AR43" s="174"/>
      <c r="AS43" s="174"/>
      <c r="AT43" s="174"/>
      <c r="AU43" s="174"/>
      <c r="AV43" s="174"/>
      <c r="AW43" s="174"/>
      <c r="AX43" s="174"/>
      <c r="AY43" s="174"/>
      <c r="AZ43" s="174"/>
      <c r="BA43" s="175"/>
      <c r="BB43" s="13"/>
      <c r="BC43" s="13"/>
      <c r="BD43" s="13"/>
      <c r="BE43" s="13"/>
      <c r="BF43" s="13"/>
      <c r="BG43" s="13"/>
      <c r="BH43" s="13"/>
      <c r="BI43" s="13"/>
      <c r="BJ43" s="13"/>
      <c r="BK43" s="13"/>
      <c r="BL43" s="13"/>
      <c r="BM43" s="13"/>
      <c r="BN43" s="13"/>
      <c r="BO43" s="13"/>
    </row>
    <row r="44" spans="1:67" ht="12.2" customHeight="1">
      <c r="A44" s="32"/>
      <c r="B44" s="66">
        <v>38</v>
      </c>
      <c r="C44" s="67"/>
      <c r="D44" s="22"/>
      <c r="E44" s="24"/>
      <c r="F44" s="126" t="s">
        <v>67</v>
      </c>
      <c r="G44" s="127"/>
      <c r="H44" s="127"/>
      <c r="I44" s="127"/>
      <c r="J44" s="127"/>
      <c r="K44" s="127"/>
      <c r="L44" s="127"/>
      <c r="M44" s="127"/>
      <c r="N44" s="127"/>
      <c r="O44" s="127"/>
      <c r="P44" s="127" t="s">
        <v>68</v>
      </c>
      <c r="Q44" s="127"/>
      <c r="R44" s="127"/>
      <c r="S44" s="127"/>
      <c r="T44" s="127"/>
      <c r="U44" s="127"/>
      <c r="V44" s="127"/>
      <c r="W44" s="127"/>
      <c r="X44" s="127"/>
      <c r="Y44" s="123"/>
      <c r="Z44" s="123"/>
      <c r="AA44" s="123"/>
      <c r="AB44" s="7" t="s">
        <v>69</v>
      </c>
      <c r="AC44" s="123"/>
      <c r="AD44" s="123"/>
      <c r="AE44" s="123"/>
      <c r="AF44" s="7" t="s">
        <v>69</v>
      </c>
      <c r="AG44" s="123"/>
      <c r="AH44" s="123"/>
      <c r="AI44" s="123"/>
      <c r="AJ44" s="128" t="str">
        <f>[1]UOM!B28</f>
        <v>mm</v>
      </c>
      <c r="AK44" s="129"/>
      <c r="AL44" s="173"/>
      <c r="AM44" s="174"/>
      <c r="AN44" s="174"/>
      <c r="AO44" s="174"/>
      <c r="AP44" s="174"/>
      <c r="AQ44" s="174"/>
      <c r="AR44" s="174"/>
      <c r="AS44" s="174"/>
      <c r="AT44" s="174"/>
      <c r="AU44" s="174"/>
      <c r="AV44" s="174"/>
      <c r="AW44" s="174"/>
      <c r="AX44" s="174"/>
      <c r="AY44" s="174"/>
      <c r="AZ44" s="174"/>
      <c r="BA44" s="175"/>
      <c r="BB44" s="13"/>
      <c r="BC44" s="13"/>
      <c r="BD44" s="13"/>
      <c r="BE44" s="13"/>
      <c r="BF44" s="13"/>
      <c r="BG44" s="13"/>
      <c r="BH44" s="13"/>
      <c r="BI44" s="13"/>
      <c r="BJ44" s="13"/>
      <c r="BK44" s="13"/>
      <c r="BL44" s="13"/>
      <c r="BM44" s="13"/>
      <c r="BN44" s="13"/>
      <c r="BO44" s="13"/>
    </row>
    <row r="45" spans="1:67" ht="12.2" customHeight="1">
      <c r="A45" s="32"/>
      <c r="B45" s="66">
        <v>39</v>
      </c>
      <c r="C45" s="67"/>
      <c r="D45" s="22"/>
      <c r="E45" s="24"/>
      <c r="F45" s="30" t="s">
        <v>70</v>
      </c>
      <c r="G45" s="31"/>
      <c r="H45" s="31"/>
      <c r="I45" s="31"/>
      <c r="J45" s="31"/>
      <c r="K45" s="31"/>
      <c r="L45" s="31"/>
      <c r="M45" s="31"/>
      <c r="N45" s="31"/>
      <c r="O45" s="31"/>
      <c r="P45" s="31"/>
      <c r="Q45" s="31"/>
      <c r="R45" s="31"/>
      <c r="S45" s="31"/>
      <c r="T45" s="182"/>
      <c r="U45" s="182"/>
      <c r="V45" s="182"/>
      <c r="W45" s="182"/>
      <c r="X45" s="182"/>
      <c r="Y45" s="182"/>
      <c r="Z45" s="182"/>
      <c r="AA45" s="182"/>
      <c r="AB45" s="182"/>
      <c r="AC45" s="182"/>
      <c r="AD45" s="182"/>
      <c r="AE45" s="182"/>
      <c r="AF45" s="182"/>
      <c r="AG45" s="182"/>
      <c r="AH45" s="182"/>
      <c r="AI45" s="182"/>
      <c r="AJ45" s="124" t="str">
        <f>[1]UOM!B1</f>
        <v>m²</v>
      </c>
      <c r="AK45" s="125"/>
      <c r="AL45" s="173"/>
      <c r="AM45" s="174"/>
      <c r="AN45" s="174"/>
      <c r="AO45" s="174"/>
      <c r="AP45" s="174"/>
      <c r="AQ45" s="174"/>
      <c r="AR45" s="174"/>
      <c r="AS45" s="174"/>
      <c r="AT45" s="174"/>
      <c r="AU45" s="174"/>
      <c r="AV45" s="174"/>
      <c r="AW45" s="174"/>
      <c r="AX45" s="174"/>
      <c r="AY45" s="174"/>
      <c r="AZ45" s="174"/>
      <c r="BA45" s="175"/>
      <c r="BB45" s="13"/>
      <c r="BC45" s="13"/>
      <c r="BD45" s="13"/>
      <c r="BE45" s="13"/>
      <c r="BF45" s="13"/>
      <c r="BG45" s="13"/>
      <c r="BH45" s="13"/>
      <c r="BI45" s="13"/>
      <c r="BJ45" s="13"/>
      <c r="BK45" s="13"/>
      <c r="BL45" s="13"/>
      <c r="BM45" s="13"/>
      <c r="BN45" s="13"/>
      <c r="BO45" s="13"/>
    </row>
    <row r="46" spans="1:67" ht="12.2" customHeight="1">
      <c r="A46" s="32"/>
      <c r="B46" s="66">
        <v>40</v>
      </c>
      <c r="C46" s="67"/>
      <c r="D46" s="22"/>
      <c r="E46" s="24"/>
      <c r="F46" s="33"/>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5"/>
      <c r="AL46" s="173"/>
      <c r="AM46" s="174"/>
      <c r="AN46" s="174"/>
      <c r="AO46" s="174"/>
      <c r="AP46" s="174"/>
      <c r="AQ46" s="174"/>
      <c r="AR46" s="174"/>
      <c r="AS46" s="174"/>
      <c r="AT46" s="174"/>
      <c r="AU46" s="174"/>
      <c r="AV46" s="174"/>
      <c r="AW46" s="174"/>
      <c r="AX46" s="174"/>
      <c r="AY46" s="174"/>
      <c r="AZ46" s="174"/>
      <c r="BA46" s="175"/>
      <c r="BB46" s="13"/>
      <c r="BC46" s="13"/>
      <c r="BD46" s="13"/>
      <c r="BE46" s="13"/>
      <c r="BF46" s="13"/>
      <c r="BG46" s="13"/>
      <c r="BH46" s="13"/>
      <c r="BI46" s="13"/>
      <c r="BJ46" s="13"/>
      <c r="BK46" s="13"/>
      <c r="BL46" s="13"/>
      <c r="BM46" s="13"/>
      <c r="BN46" s="13"/>
      <c r="BO46" s="13"/>
    </row>
    <row r="47" spans="1:67" ht="12.2" customHeight="1">
      <c r="A47" s="32"/>
      <c r="B47" s="66">
        <v>41</v>
      </c>
      <c r="C47" s="67"/>
      <c r="D47" s="22"/>
      <c r="E47" s="24"/>
      <c r="F47" s="163"/>
      <c r="G47" s="164"/>
      <c r="H47" s="164"/>
      <c r="I47" s="164"/>
      <c r="J47" s="164"/>
      <c r="K47" s="164"/>
      <c r="L47" s="164"/>
      <c r="M47" s="164"/>
      <c r="N47" s="164"/>
      <c r="O47" s="164"/>
      <c r="P47" s="164"/>
      <c r="Q47" s="164"/>
      <c r="R47" s="164"/>
      <c r="S47" s="164"/>
      <c r="T47" s="164"/>
      <c r="U47" s="164"/>
      <c r="V47" s="164"/>
      <c r="W47" s="164"/>
      <c r="X47" s="164"/>
      <c r="Y47" s="164"/>
      <c r="Z47" s="164"/>
      <c r="AA47" s="164"/>
      <c r="AB47" s="164"/>
      <c r="AC47" s="164"/>
      <c r="AD47" s="164"/>
      <c r="AE47" s="164"/>
      <c r="AF47" s="164"/>
      <c r="AG47" s="164"/>
      <c r="AH47" s="164"/>
      <c r="AI47" s="164"/>
      <c r="AJ47" s="164"/>
      <c r="AK47" s="165"/>
      <c r="AL47" s="176"/>
      <c r="AM47" s="150"/>
      <c r="AN47" s="150"/>
      <c r="AO47" s="150"/>
      <c r="AP47" s="150"/>
      <c r="AQ47" s="150"/>
      <c r="AR47" s="150"/>
      <c r="AS47" s="150"/>
      <c r="AT47" s="150"/>
      <c r="AU47" s="150"/>
      <c r="AV47" s="150"/>
      <c r="AW47" s="150"/>
      <c r="AX47" s="150"/>
      <c r="AY47" s="150"/>
      <c r="AZ47" s="150"/>
      <c r="BA47" s="177"/>
      <c r="BB47" s="13"/>
      <c r="BC47" s="13"/>
      <c r="BD47" s="13"/>
      <c r="BE47" s="13"/>
      <c r="BF47" s="13"/>
      <c r="BG47" s="13"/>
      <c r="BH47" s="13"/>
      <c r="BI47" s="13"/>
      <c r="BJ47" s="13"/>
      <c r="BK47" s="13"/>
      <c r="BL47" s="13"/>
      <c r="BM47" s="13"/>
      <c r="BN47" s="13"/>
      <c r="BO47" s="13"/>
    </row>
    <row r="48" spans="1:67" ht="12.2" customHeight="1">
      <c r="A48" s="32"/>
      <c r="B48" s="66">
        <v>42</v>
      </c>
      <c r="C48" s="67"/>
      <c r="D48" s="166"/>
      <c r="E48" s="167"/>
      <c r="F48" s="170" t="s">
        <v>71</v>
      </c>
      <c r="G48" s="171"/>
      <c r="H48" s="171"/>
      <c r="I48" s="171"/>
      <c r="J48" s="171"/>
      <c r="K48" s="171"/>
      <c r="L48" s="171"/>
      <c r="M48" s="171"/>
      <c r="N48" s="171"/>
      <c r="O48" s="171"/>
      <c r="P48" s="171"/>
      <c r="Q48" s="171"/>
      <c r="R48" s="171"/>
      <c r="S48" s="171"/>
      <c r="T48" s="171"/>
      <c r="U48" s="171"/>
      <c r="V48" s="171"/>
      <c r="W48" s="171"/>
      <c r="X48" s="171"/>
      <c r="Y48" s="171"/>
      <c r="Z48" s="171"/>
      <c r="AA48" s="171"/>
      <c r="AB48" s="171"/>
      <c r="AC48" s="172"/>
      <c r="AD48" s="170" t="s">
        <v>72</v>
      </c>
      <c r="AE48" s="171"/>
      <c r="AF48" s="171"/>
      <c r="AG48" s="171"/>
      <c r="AH48" s="171"/>
      <c r="AI48" s="171"/>
      <c r="AJ48" s="171"/>
      <c r="AK48" s="171"/>
      <c r="AL48" s="171"/>
      <c r="AM48" s="171"/>
      <c r="AN48" s="171"/>
      <c r="AO48" s="171"/>
      <c r="AP48" s="171"/>
      <c r="AQ48" s="171"/>
      <c r="AR48" s="171"/>
      <c r="AS48" s="171"/>
      <c r="AT48" s="171"/>
      <c r="AU48" s="171"/>
      <c r="AV48" s="171"/>
      <c r="AW48" s="171"/>
      <c r="AX48" s="171"/>
      <c r="AY48" s="171"/>
      <c r="AZ48" s="171"/>
      <c r="BA48" s="172"/>
    </row>
    <row r="49" spans="1:53" ht="12.2" customHeight="1">
      <c r="A49" s="32"/>
      <c r="B49" s="66">
        <v>43</v>
      </c>
      <c r="C49" s="67"/>
      <c r="D49" s="166"/>
      <c r="E49" s="167"/>
      <c r="F49" s="62" t="s">
        <v>10</v>
      </c>
      <c r="G49" s="63"/>
      <c r="H49" s="63"/>
      <c r="I49" s="168"/>
      <c r="J49" s="168"/>
      <c r="K49" s="168"/>
      <c r="L49" s="168"/>
      <c r="M49" s="168"/>
      <c r="N49" s="168"/>
      <c r="O49" s="168"/>
      <c r="P49" s="168"/>
      <c r="Q49" s="168"/>
      <c r="R49" s="168"/>
      <c r="S49" s="168"/>
      <c r="T49" s="168"/>
      <c r="U49" s="168"/>
      <c r="V49" s="168"/>
      <c r="W49" s="168"/>
      <c r="X49" s="168"/>
      <c r="Y49" s="168"/>
      <c r="Z49" s="168"/>
      <c r="AA49" s="168"/>
      <c r="AB49" s="168"/>
      <c r="AC49" s="169"/>
      <c r="AD49" s="62" t="s">
        <v>55</v>
      </c>
      <c r="AE49" s="63"/>
      <c r="AF49" s="63"/>
      <c r="AG49" s="63"/>
      <c r="AH49" s="63"/>
      <c r="AI49" s="168"/>
      <c r="AJ49" s="168"/>
      <c r="AK49" s="168"/>
      <c r="AL49" s="168"/>
      <c r="AM49" s="168"/>
      <c r="AN49" s="168"/>
      <c r="AO49" s="168"/>
      <c r="AP49" s="168"/>
      <c r="AQ49" s="168"/>
      <c r="AR49" s="168"/>
      <c r="AS49" s="168"/>
      <c r="AT49" s="168"/>
      <c r="AU49" s="168"/>
      <c r="AV49" s="168"/>
      <c r="AW49" s="168"/>
      <c r="AX49" s="168"/>
      <c r="AY49" s="168"/>
      <c r="AZ49" s="168"/>
      <c r="BA49" s="169"/>
    </row>
    <row r="50" spans="1:53" ht="12.2" customHeight="1">
      <c r="A50" s="32"/>
      <c r="B50" s="66">
        <v>44</v>
      </c>
      <c r="C50" s="67"/>
      <c r="D50" s="166"/>
      <c r="E50" s="167"/>
      <c r="F50" s="30" t="s">
        <v>73</v>
      </c>
      <c r="G50" s="31"/>
      <c r="H50" s="31"/>
      <c r="I50" s="34"/>
      <c r="J50" s="34"/>
      <c r="K50" s="34"/>
      <c r="L50" s="34"/>
      <c r="M50" s="34"/>
      <c r="N50" s="34"/>
      <c r="O50" s="34"/>
      <c r="P50" s="34"/>
      <c r="Q50" s="34"/>
      <c r="R50" s="34"/>
      <c r="S50" s="34"/>
      <c r="T50" s="34"/>
      <c r="U50" s="34"/>
      <c r="V50" s="34"/>
      <c r="W50" s="34"/>
      <c r="X50" s="34"/>
      <c r="Y50" s="34"/>
      <c r="Z50" s="34"/>
      <c r="AA50" s="34"/>
      <c r="AB50" s="34"/>
      <c r="AC50" s="35"/>
      <c r="AD50" s="30" t="s">
        <v>56</v>
      </c>
      <c r="AE50" s="31"/>
      <c r="AF50" s="31"/>
      <c r="AG50" s="31"/>
      <c r="AH50" s="31"/>
      <c r="AI50" s="34"/>
      <c r="AJ50" s="34"/>
      <c r="AK50" s="34"/>
      <c r="AL50" s="34"/>
      <c r="AM50" s="34"/>
      <c r="AN50" s="34"/>
      <c r="AO50" s="34"/>
      <c r="AP50" s="34"/>
      <c r="AQ50" s="34"/>
      <c r="AR50" s="34"/>
      <c r="AS50" s="34"/>
      <c r="AT50" s="34"/>
      <c r="AU50" s="34"/>
      <c r="AV50" s="34"/>
      <c r="AW50" s="34"/>
      <c r="AX50" s="34"/>
      <c r="AY50" s="34"/>
      <c r="AZ50" s="34"/>
      <c r="BA50" s="35"/>
    </row>
    <row r="51" spans="1:53" ht="12.2" customHeight="1">
      <c r="A51" s="32"/>
      <c r="B51" s="134">
        <v>45</v>
      </c>
      <c r="C51" s="135"/>
      <c r="D51" s="166"/>
      <c r="E51" s="167"/>
      <c r="F51" s="163"/>
      <c r="G51" s="164"/>
      <c r="H51" s="164"/>
      <c r="I51" s="164"/>
      <c r="J51" s="164"/>
      <c r="K51" s="164"/>
      <c r="L51" s="164"/>
      <c r="M51" s="164"/>
      <c r="N51" s="164"/>
      <c r="O51" s="164"/>
      <c r="P51" s="164"/>
      <c r="Q51" s="164"/>
      <c r="R51" s="164"/>
      <c r="S51" s="164"/>
      <c r="T51" s="164"/>
      <c r="U51" s="164"/>
      <c r="V51" s="164"/>
      <c r="W51" s="164"/>
      <c r="X51" s="164"/>
      <c r="Y51" s="164"/>
      <c r="Z51" s="164"/>
      <c r="AA51" s="164"/>
      <c r="AB51" s="164"/>
      <c r="AC51" s="165"/>
      <c r="AD51" s="163"/>
      <c r="AE51" s="164"/>
      <c r="AF51" s="164"/>
      <c r="AG51" s="164"/>
      <c r="AH51" s="164"/>
      <c r="AI51" s="164"/>
      <c r="AJ51" s="164"/>
      <c r="AK51" s="164"/>
      <c r="AL51" s="164"/>
      <c r="AM51" s="164"/>
      <c r="AN51" s="164"/>
      <c r="AO51" s="164"/>
      <c r="AP51" s="164"/>
      <c r="AQ51" s="164"/>
      <c r="AR51" s="164"/>
      <c r="AS51" s="164"/>
      <c r="AT51" s="164"/>
      <c r="AU51" s="164"/>
      <c r="AV51" s="164"/>
      <c r="AW51" s="164"/>
      <c r="AX51" s="164"/>
      <c r="AY51" s="164"/>
      <c r="AZ51" s="164"/>
      <c r="BA51" s="165"/>
    </row>
    <row r="52" spans="1:53" ht="12.2" customHeight="1">
      <c r="A52" s="32"/>
      <c r="B52" s="66">
        <v>46</v>
      </c>
      <c r="C52" s="67"/>
      <c r="D52" s="166"/>
      <c r="E52" s="167"/>
      <c r="F52" s="62" t="s">
        <v>74</v>
      </c>
      <c r="G52" s="63"/>
      <c r="H52" s="63"/>
      <c r="I52" s="63"/>
      <c r="J52" s="63"/>
      <c r="K52" s="63"/>
      <c r="L52" s="63"/>
      <c r="M52" s="63"/>
      <c r="N52" s="63"/>
      <c r="O52" s="63"/>
      <c r="P52" s="63"/>
      <c r="Q52" s="63"/>
      <c r="R52" s="63"/>
      <c r="S52" s="63"/>
      <c r="T52" s="63"/>
      <c r="U52" s="63"/>
      <c r="V52" s="21"/>
      <c r="W52" s="21"/>
      <c r="X52" s="21"/>
      <c r="Y52" s="21"/>
      <c r="Z52" s="21"/>
      <c r="AA52" s="6" t="s">
        <v>69</v>
      </c>
      <c r="AB52" s="21"/>
      <c r="AC52" s="21"/>
      <c r="AD52" s="21"/>
      <c r="AE52" s="21"/>
      <c r="AF52" s="6" t="s">
        <v>69</v>
      </c>
      <c r="AG52" s="21"/>
      <c r="AH52" s="21"/>
      <c r="AI52" s="21"/>
      <c r="AJ52" s="21"/>
      <c r="AK52" s="21"/>
      <c r="AL52" s="21"/>
      <c r="AM52" s="21"/>
      <c r="AN52" s="21"/>
      <c r="AO52" s="21"/>
      <c r="AP52" s="21"/>
      <c r="AQ52" s="21"/>
      <c r="AR52" s="21"/>
      <c r="AS52" s="21"/>
      <c r="AT52" s="21"/>
      <c r="AU52" s="178" t="str">
        <f>[1]UOM!B29</f>
        <v>mm</v>
      </c>
      <c r="AV52" s="178"/>
      <c r="AW52" s="178"/>
      <c r="AX52" s="178"/>
      <c r="AY52" s="178"/>
      <c r="AZ52" s="178"/>
      <c r="BA52" s="179"/>
    </row>
    <row r="53" spans="1:53" ht="12.2" customHeight="1">
      <c r="A53" s="32"/>
      <c r="B53" s="66">
        <v>47</v>
      </c>
      <c r="C53" s="67"/>
      <c r="D53" s="166"/>
      <c r="E53" s="167"/>
      <c r="F53" s="61" t="s">
        <v>75</v>
      </c>
      <c r="G53" s="39"/>
      <c r="H53" s="39"/>
      <c r="I53" s="39"/>
      <c r="J53" s="39"/>
      <c r="K53" s="39"/>
      <c r="L53" s="48"/>
      <c r="M53" s="48"/>
      <c r="N53" s="48"/>
      <c r="O53" s="48"/>
      <c r="P53" s="48"/>
      <c r="Q53" s="48"/>
      <c r="R53" s="48"/>
      <c r="S53" s="48"/>
      <c r="T53" s="48"/>
      <c r="U53" s="49" t="str">
        <f>[1]UOM!B30</f>
        <v>kgf</v>
      </c>
      <c r="V53" s="49"/>
      <c r="W53" s="39" t="s">
        <v>76</v>
      </c>
      <c r="X53" s="39"/>
      <c r="Y53" s="39"/>
      <c r="Z53" s="39"/>
      <c r="AA53" s="39"/>
      <c r="AB53" s="39"/>
      <c r="AC53" s="48"/>
      <c r="AD53" s="48"/>
      <c r="AE53" s="48"/>
      <c r="AF53" s="48"/>
      <c r="AG53" s="48"/>
      <c r="AH53" s="48"/>
      <c r="AI53" s="48"/>
      <c r="AJ53" s="48"/>
      <c r="AK53" s="49" t="str">
        <f>[1]UOM!B30</f>
        <v>kgf</v>
      </c>
      <c r="AL53" s="49"/>
      <c r="AM53" s="39" t="s">
        <v>77</v>
      </c>
      <c r="AN53" s="39"/>
      <c r="AO53" s="39"/>
      <c r="AP53" s="39"/>
      <c r="AQ53" s="39"/>
      <c r="AR53" s="39"/>
      <c r="AS53" s="48"/>
      <c r="AT53" s="48"/>
      <c r="AU53" s="48"/>
      <c r="AV53" s="48"/>
      <c r="AW53" s="48"/>
      <c r="AX53" s="48"/>
      <c r="AY53" s="48"/>
      <c r="AZ53" s="49" t="str">
        <f>[1]UOM!B30</f>
        <v>kgf</v>
      </c>
      <c r="BA53" s="60"/>
    </row>
    <row r="54" spans="1:53" ht="12.2" customHeight="1">
      <c r="A54" s="32"/>
      <c r="B54" s="66">
        <v>48</v>
      </c>
      <c r="C54" s="67"/>
      <c r="D54" s="166"/>
      <c r="E54" s="167"/>
      <c r="F54" s="152" t="s">
        <v>78</v>
      </c>
      <c r="G54" s="153"/>
      <c r="H54" s="153"/>
      <c r="I54" s="153"/>
      <c r="J54" s="168"/>
      <c r="K54" s="168"/>
      <c r="L54" s="168"/>
      <c r="M54" s="168"/>
      <c r="N54" s="168"/>
      <c r="O54" s="168"/>
      <c r="P54" s="168"/>
      <c r="Q54" s="168"/>
      <c r="R54" s="168"/>
      <c r="S54" s="168"/>
      <c r="T54" s="168"/>
      <c r="U54" s="168"/>
      <c r="V54" s="168"/>
      <c r="W54" s="168"/>
      <c r="X54" s="168"/>
      <c r="Y54" s="168"/>
      <c r="Z54" s="168"/>
      <c r="AA54" s="168"/>
      <c r="AB54" s="168"/>
      <c r="AC54" s="168"/>
      <c r="AD54" s="168"/>
      <c r="AE54" s="168"/>
      <c r="AF54" s="168"/>
      <c r="AG54" s="168"/>
      <c r="AH54" s="168"/>
      <c r="AI54" s="168"/>
      <c r="AJ54" s="168"/>
      <c r="AK54" s="168"/>
      <c r="AL54" s="168"/>
      <c r="AM54" s="168"/>
      <c r="AN54" s="168"/>
      <c r="AO54" s="168"/>
      <c r="AP54" s="168"/>
      <c r="AQ54" s="168"/>
      <c r="AR54" s="168"/>
      <c r="AS54" s="168"/>
      <c r="AT54" s="168"/>
      <c r="AU54" s="168"/>
      <c r="AV54" s="168"/>
      <c r="AW54" s="168"/>
      <c r="AX54" s="168"/>
      <c r="AY54" s="168"/>
      <c r="AZ54" s="168"/>
      <c r="BA54" s="169"/>
    </row>
    <row r="55" spans="1:53" ht="12.2" customHeight="1">
      <c r="A55" s="32"/>
      <c r="B55" s="66">
        <v>49</v>
      </c>
      <c r="C55" s="67"/>
      <c r="D55" s="166"/>
      <c r="E55" s="167"/>
      <c r="F55" s="33"/>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5"/>
    </row>
    <row r="56" spans="1:53" ht="12.2" customHeight="1">
      <c r="A56" s="32"/>
      <c r="B56" s="66">
        <v>50</v>
      </c>
      <c r="C56" s="67"/>
      <c r="D56" s="166"/>
      <c r="E56" s="167"/>
      <c r="F56" s="183"/>
      <c r="G56" s="184"/>
      <c r="H56" s="184"/>
      <c r="I56" s="184"/>
      <c r="J56" s="184"/>
      <c r="K56" s="184"/>
      <c r="L56" s="184"/>
      <c r="M56" s="184"/>
      <c r="N56" s="184"/>
      <c r="O56" s="184"/>
      <c r="P56" s="184"/>
      <c r="Q56" s="184"/>
      <c r="R56" s="184"/>
      <c r="S56" s="184"/>
      <c r="T56" s="184"/>
      <c r="U56" s="184"/>
      <c r="V56" s="184"/>
      <c r="W56" s="184"/>
      <c r="X56" s="184"/>
      <c r="Y56" s="184"/>
      <c r="Z56" s="184"/>
      <c r="AA56" s="184"/>
      <c r="AB56" s="184"/>
      <c r="AC56" s="184"/>
      <c r="AD56" s="184"/>
      <c r="AE56" s="184"/>
      <c r="AF56" s="184"/>
      <c r="AG56" s="184"/>
      <c r="AH56" s="184"/>
      <c r="AI56" s="184"/>
      <c r="AJ56" s="184"/>
      <c r="AK56" s="184"/>
      <c r="AL56" s="184"/>
      <c r="AM56" s="184"/>
      <c r="AN56" s="184"/>
      <c r="AO56" s="184"/>
      <c r="AP56" s="184"/>
      <c r="AQ56" s="184"/>
      <c r="AR56" s="184"/>
      <c r="AS56" s="184"/>
      <c r="AT56" s="184"/>
      <c r="AU56" s="184"/>
      <c r="AV56" s="184"/>
      <c r="AW56" s="184"/>
      <c r="AX56" s="184"/>
      <c r="AY56" s="184"/>
      <c r="AZ56" s="184"/>
      <c r="BA56" s="185"/>
    </row>
    <row r="57" spans="1:53" ht="12.2" customHeight="1">
      <c r="A57" s="32"/>
      <c r="B57" s="66">
        <v>51</v>
      </c>
      <c r="C57" s="67"/>
      <c r="D57" s="166"/>
      <c r="E57" s="167"/>
      <c r="F57" s="183"/>
      <c r="G57" s="184"/>
      <c r="H57" s="184"/>
      <c r="I57" s="184"/>
      <c r="J57" s="184"/>
      <c r="K57" s="184"/>
      <c r="L57" s="184"/>
      <c r="M57" s="184"/>
      <c r="N57" s="184"/>
      <c r="O57" s="184"/>
      <c r="P57" s="184"/>
      <c r="Q57" s="184"/>
      <c r="R57" s="184"/>
      <c r="S57" s="184"/>
      <c r="T57" s="184"/>
      <c r="U57" s="184"/>
      <c r="V57" s="184"/>
      <c r="W57" s="184"/>
      <c r="X57" s="184"/>
      <c r="Y57" s="184"/>
      <c r="Z57" s="184"/>
      <c r="AA57" s="184"/>
      <c r="AB57" s="184"/>
      <c r="AC57" s="184"/>
      <c r="AD57" s="184"/>
      <c r="AE57" s="184"/>
      <c r="AF57" s="184"/>
      <c r="AG57" s="184"/>
      <c r="AH57" s="184"/>
      <c r="AI57" s="184"/>
      <c r="AJ57" s="184"/>
      <c r="AK57" s="184"/>
      <c r="AL57" s="184"/>
      <c r="AM57" s="184"/>
      <c r="AN57" s="184"/>
      <c r="AO57" s="184"/>
      <c r="AP57" s="184"/>
      <c r="AQ57" s="184"/>
      <c r="AR57" s="184"/>
      <c r="AS57" s="184"/>
      <c r="AT57" s="184"/>
      <c r="AU57" s="184"/>
      <c r="AV57" s="184"/>
      <c r="AW57" s="184"/>
      <c r="AX57" s="184"/>
      <c r="AY57" s="184"/>
      <c r="AZ57" s="184"/>
      <c r="BA57" s="185"/>
    </row>
    <row r="58" spans="1:53" ht="12.2" customHeight="1">
      <c r="A58" s="32"/>
      <c r="B58" s="66">
        <v>52</v>
      </c>
      <c r="C58" s="67"/>
      <c r="D58" s="166"/>
      <c r="E58" s="167"/>
      <c r="F58" s="183"/>
      <c r="G58" s="184"/>
      <c r="H58" s="184"/>
      <c r="I58" s="184"/>
      <c r="J58" s="184"/>
      <c r="K58" s="184"/>
      <c r="L58" s="184"/>
      <c r="M58" s="184"/>
      <c r="N58" s="184"/>
      <c r="O58" s="184"/>
      <c r="P58" s="184"/>
      <c r="Q58" s="184"/>
      <c r="R58" s="184"/>
      <c r="S58" s="184"/>
      <c r="T58" s="184"/>
      <c r="U58" s="184"/>
      <c r="V58" s="184"/>
      <c r="W58" s="184"/>
      <c r="X58" s="184"/>
      <c r="Y58" s="184"/>
      <c r="Z58" s="184"/>
      <c r="AA58" s="184"/>
      <c r="AB58" s="184"/>
      <c r="AC58" s="184"/>
      <c r="AD58" s="184"/>
      <c r="AE58" s="184"/>
      <c r="AF58" s="184"/>
      <c r="AG58" s="184"/>
      <c r="AH58" s="184"/>
      <c r="AI58" s="184"/>
      <c r="AJ58" s="184"/>
      <c r="AK58" s="184"/>
      <c r="AL58" s="184"/>
      <c r="AM58" s="184"/>
      <c r="AN58" s="184"/>
      <c r="AO58" s="184"/>
      <c r="AP58" s="184"/>
      <c r="AQ58" s="184"/>
      <c r="AR58" s="184"/>
      <c r="AS58" s="184"/>
      <c r="AT58" s="184"/>
      <c r="AU58" s="184"/>
      <c r="AV58" s="184"/>
      <c r="AW58" s="184"/>
      <c r="AX58" s="184"/>
      <c r="AY58" s="184"/>
      <c r="AZ58" s="184"/>
      <c r="BA58" s="185"/>
    </row>
    <row r="59" spans="1:53" ht="12.2" customHeight="1">
      <c r="A59" s="17" t="s">
        <v>79</v>
      </c>
      <c r="B59" s="66">
        <v>53</v>
      </c>
      <c r="C59" s="67"/>
      <c r="D59" s="166"/>
      <c r="E59" s="167"/>
      <c r="F59" s="183"/>
      <c r="G59" s="184"/>
      <c r="H59" s="184"/>
      <c r="I59" s="184"/>
      <c r="J59" s="184"/>
      <c r="K59" s="184"/>
      <c r="L59" s="184"/>
      <c r="M59" s="184"/>
      <c r="N59" s="184"/>
      <c r="O59" s="184"/>
      <c r="P59" s="184"/>
      <c r="Q59" s="184"/>
      <c r="R59" s="184"/>
      <c r="S59" s="184"/>
      <c r="T59" s="184"/>
      <c r="U59" s="184"/>
      <c r="V59" s="184"/>
      <c r="W59" s="184"/>
      <c r="X59" s="184"/>
      <c r="Y59" s="184"/>
      <c r="Z59" s="184"/>
      <c r="AA59" s="184"/>
      <c r="AB59" s="184"/>
      <c r="AC59" s="184"/>
      <c r="AD59" s="184"/>
      <c r="AE59" s="184"/>
      <c r="AF59" s="184"/>
      <c r="AG59" s="184"/>
      <c r="AH59" s="184"/>
      <c r="AI59" s="184"/>
      <c r="AJ59" s="184"/>
      <c r="AK59" s="184"/>
      <c r="AL59" s="184"/>
      <c r="AM59" s="184"/>
      <c r="AN59" s="184"/>
      <c r="AO59" s="184"/>
      <c r="AP59" s="184"/>
      <c r="AQ59" s="184"/>
      <c r="AR59" s="184"/>
      <c r="AS59" s="184"/>
      <c r="AT59" s="184"/>
      <c r="AU59" s="184"/>
      <c r="AV59" s="184"/>
      <c r="AW59" s="184"/>
      <c r="AX59" s="184"/>
      <c r="AY59" s="184"/>
      <c r="AZ59" s="184"/>
      <c r="BA59" s="185"/>
    </row>
    <row r="60" spans="1:53" ht="12.2" customHeight="1">
      <c r="A60" s="17"/>
      <c r="B60" s="66">
        <v>54</v>
      </c>
      <c r="C60" s="67"/>
      <c r="D60" s="166"/>
      <c r="E60" s="167"/>
      <c r="F60" s="183"/>
      <c r="G60" s="184"/>
      <c r="H60" s="184"/>
      <c r="I60" s="184"/>
      <c r="J60" s="184"/>
      <c r="K60" s="184"/>
      <c r="L60" s="184"/>
      <c r="M60" s="184"/>
      <c r="N60" s="184"/>
      <c r="O60" s="184"/>
      <c r="P60" s="184"/>
      <c r="Q60" s="184"/>
      <c r="R60" s="184"/>
      <c r="S60" s="184"/>
      <c r="T60" s="184"/>
      <c r="U60" s="184"/>
      <c r="V60" s="184"/>
      <c r="W60" s="184"/>
      <c r="X60" s="184"/>
      <c r="Y60" s="184"/>
      <c r="Z60" s="184"/>
      <c r="AA60" s="184"/>
      <c r="AB60" s="184"/>
      <c r="AC60" s="184"/>
      <c r="AD60" s="184"/>
      <c r="AE60" s="184"/>
      <c r="AF60" s="184"/>
      <c r="AG60" s="184"/>
      <c r="AH60" s="184"/>
      <c r="AI60" s="184"/>
      <c r="AJ60" s="184"/>
      <c r="AK60" s="184"/>
      <c r="AL60" s="184"/>
      <c r="AM60" s="184"/>
      <c r="AN60" s="184"/>
      <c r="AO60" s="184"/>
      <c r="AP60" s="184"/>
      <c r="AQ60" s="184"/>
      <c r="AR60" s="184"/>
      <c r="AS60" s="184"/>
      <c r="AT60" s="184"/>
      <c r="AU60" s="184"/>
      <c r="AV60" s="184"/>
      <c r="AW60" s="184"/>
      <c r="AX60" s="184"/>
      <c r="AY60" s="184"/>
      <c r="AZ60" s="184"/>
      <c r="BA60" s="185"/>
    </row>
    <row r="61" spans="1:53" ht="12.2" customHeight="1">
      <c r="A61" s="17"/>
      <c r="B61" s="66">
        <v>55</v>
      </c>
      <c r="C61" s="67"/>
      <c r="D61" s="166"/>
      <c r="E61" s="167"/>
      <c r="F61" s="183"/>
      <c r="G61" s="184"/>
      <c r="H61" s="184"/>
      <c r="I61" s="184"/>
      <c r="J61" s="184"/>
      <c r="K61" s="184"/>
      <c r="L61" s="184"/>
      <c r="M61" s="184"/>
      <c r="N61" s="184"/>
      <c r="O61" s="184"/>
      <c r="P61" s="184"/>
      <c r="Q61" s="184"/>
      <c r="R61" s="184"/>
      <c r="S61" s="184"/>
      <c r="T61" s="184"/>
      <c r="U61" s="184"/>
      <c r="V61" s="184"/>
      <c r="W61" s="184"/>
      <c r="X61" s="184"/>
      <c r="Y61" s="184"/>
      <c r="Z61" s="184"/>
      <c r="AA61" s="184"/>
      <c r="AB61" s="184"/>
      <c r="AC61" s="184"/>
      <c r="AD61" s="184"/>
      <c r="AE61" s="184"/>
      <c r="AF61" s="184"/>
      <c r="AG61" s="184"/>
      <c r="AH61" s="184"/>
      <c r="AI61" s="184"/>
      <c r="AJ61" s="184"/>
      <c r="AK61" s="184"/>
      <c r="AL61" s="184"/>
      <c r="AM61" s="184"/>
      <c r="AN61" s="184"/>
      <c r="AO61" s="184"/>
      <c r="AP61" s="184"/>
      <c r="AQ61" s="184"/>
      <c r="AR61" s="184"/>
      <c r="AS61" s="184"/>
      <c r="AT61" s="184"/>
      <c r="AU61" s="184"/>
      <c r="AV61" s="184"/>
      <c r="AW61" s="184"/>
      <c r="AX61" s="184"/>
      <c r="AY61" s="184"/>
      <c r="AZ61" s="184"/>
      <c r="BA61" s="185"/>
    </row>
    <row r="62" spans="1:53" ht="12.2" customHeight="1">
      <c r="A62" s="17"/>
      <c r="B62" s="66">
        <v>56</v>
      </c>
      <c r="C62" s="67"/>
      <c r="D62" s="166"/>
      <c r="E62" s="167"/>
      <c r="F62" s="183"/>
      <c r="G62" s="184"/>
      <c r="H62" s="184"/>
      <c r="I62" s="184"/>
      <c r="J62" s="184"/>
      <c r="K62" s="184"/>
      <c r="L62" s="184"/>
      <c r="M62" s="184"/>
      <c r="N62" s="184"/>
      <c r="O62" s="184"/>
      <c r="P62" s="184"/>
      <c r="Q62" s="184"/>
      <c r="R62" s="184"/>
      <c r="S62" s="184"/>
      <c r="T62" s="184"/>
      <c r="U62" s="184"/>
      <c r="V62" s="184"/>
      <c r="W62" s="184"/>
      <c r="X62" s="184"/>
      <c r="Y62" s="184"/>
      <c r="Z62" s="184"/>
      <c r="AA62" s="184"/>
      <c r="AB62" s="184"/>
      <c r="AC62" s="184"/>
      <c r="AD62" s="184"/>
      <c r="AE62" s="184"/>
      <c r="AF62" s="184"/>
      <c r="AG62" s="184"/>
      <c r="AH62" s="184"/>
      <c r="AI62" s="184"/>
      <c r="AJ62" s="184"/>
      <c r="AK62" s="184"/>
      <c r="AL62" s="184"/>
      <c r="AM62" s="184"/>
      <c r="AN62" s="184"/>
      <c r="AO62" s="184"/>
      <c r="AP62" s="184"/>
      <c r="AQ62" s="184"/>
      <c r="AR62" s="184"/>
      <c r="AS62" s="184"/>
      <c r="AT62" s="184"/>
      <c r="AU62" s="184"/>
      <c r="AV62" s="184"/>
      <c r="AW62" s="184"/>
      <c r="AX62" s="184"/>
      <c r="AY62" s="184"/>
      <c r="AZ62" s="184"/>
      <c r="BA62" s="185"/>
    </row>
    <row r="63" spans="1:53" ht="12.2" customHeight="1">
      <c r="A63" s="17"/>
      <c r="B63" s="66">
        <v>57</v>
      </c>
      <c r="C63" s="67"/>
      <c r="D63" s="189"/>
      <c r="E63" s="190"/>
      <c r="F63" s="186"/>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c r="AK63" s="187"/>
      <c r="AL63" s="187"/>
      <c r="AM63" s="187"/>
      <c r="AN63" s="187"/>
      <c r="AO63" s="187"/>
      <c r="AP63" s="187"/>
      <c r="AQ63" s="187"/>
      <c r="AR63" s="187"/>
      <c r="AS63" s="187"/>
      <c r="AT63" s="187"/>
      <c r="AU63" s="187"/>
      <c r="AV63" s="187"/>
      <c r="AW63" s="187"/>
      <c r="AX63" s="187"/>
      <c r="AY63" s="187"/>
      <c r="AZ63" s="187"/>
      <c r="BA63" s="188"/>
    </row>
    <row r="64" spans="1:53" ht="12.2" customHeight="1">
      <c r="A64" s="17"/>
      <c r="B64" s="25" t="s">
        <v>1</v>
      </c>
      <c r="C64" s="26"/>
      <c r="D64" s="191"/>
      <c r="E64" s="192"/>
      <c r="F64" s="193"/>
      <c r="G64" s="194"/>
      <c r="H64" s="194"/>
      <c r="I64" s="194"/>
      <c r="J64" s="194"/>
      <c r="K64" s="194"/>
      <c r="L64" s="194"/>
      <c r="M64" s="194"/>
      <c r="N64" s="195"/>
      <c r="O64" s="196"/>
      <c r="P64" s="197"/>
      <c r="Q64" s="197"/>
      <c r="R64" s="197"/>
      <c r="S64" s="198"/>
      <c r="T64" s="191"/>
      <c r="U64" s="199"/>
      <c r="V64" s="192"/>
      <c r="W64" s="191"/>
      <c r="X64" s="199"/>
      <c r="Y64" s="192"/>
      <c r="Z64" s="191"/>
      <c r="AA64" s="199"/>
      <c r="AB64" s="192"/>
      <c r="AC64" s="191"/>
      <c r="AD64" s="192"/>
      <c r="AE64" s="193"/>
      <c r="AF64" s="194"/>
      <c r="AG64" s="194"/>
      <c r="AH64" s="194"/>
      <c r="AI64" s="194"/>
      <c r="AJ64" s="194"/>
      <c r="AK64" s="194"/>
      <c r="AL64" s="194"/>
      <c r="AM64" s="195"/>
      <c r="AN64" s="196"/>
      <c r="AO64" s="197"/>
      <c r="AP64" s="197"/>
      <c r="AQ64" s="197"/>
      <c r="AR64" s="198"/>
      <c r="AS64" s="191"/>
      <c r="AT64" s="199"/>
      <c r="AU64" s="192"/>
      <c r="AV64" s="191"/>
      <c r="AW64" s="199"/>
      <c r="AX64" s="192"/>
      <c r="AY64" s="191"/>
      <c r="AZ64" s="199"/>
      <c r="BA64" s="192"/>
    </row>
    <row r="65" spans="1:53" ht="12.2" customHeight="1">
      <c r="A65" s="17"/>
      <c r="B65" s="25"/>
      <c r="C65" s="26"/>
      <c r="D65" s="166"/>
      <c r="E65" s="167"/>
      <c r="F65" s="183"/>
      <c r="G65" s="184"/>
      <c r="H65" s="184"/>
      <c r="I65" s="184"/>
      <c r="J65" s="184"/>
      <c r="K65" s="184"/>
      <c r="L65" s="184"/>
      <c r="M65" s="184"/>
      <c r="N65" s="185"/>
      <c r="O65" s="202"/>
      <c r="P65" s="203"/>
      <c r="Q65" s="203"/>
      <c r="R65" s="203"/>
      <c r="S65" s="204"/>
      <c r="T65" s="166"/>
      <c r="U65" s="201"/>
      <c r="V65" s="167"/>
      <c r="W65" s="166"/>
      <c r="X65" s="201"/>
      <c r="Y65" s="167"/>
      <c r="Z65" s="166"/>
      <c r="AA65" s="201"/>
      <c r="AB65" s="167"/>
      <c r="AC65" s="166"/>
      <c r="AD65" s="167"/>
      <c r="AE65" s="183"/>
      <c r="AF65" s="184"/>
      <c r="AG65" s="184"/>
      <c r="AH65" s="184"/>
      <c r="AI65" s="184"/>
      <c r="AJ65" s="184"/>
      <c r="AK65" s="184"/>
      <c r="AL65" s="184"/>
      <c r="AM65" s="185"/>
      <c r="AN65" s="202"/>
      <c r="AO65" s="203"/>
      <c r="AP65" s="203"/>
      <c r="AQ65" s="203"/>
      <c r="AR65" s="204"/>
      <c r="AS65" s="166"/>
      <c r="AT65" s="201"/>
      <c r="AU65" s="167"/>
      <c r="AV65" s="166"/>
      <c r="AW65" s="201"/>
      <c r="AX65" s="167"/>
      <c r="AY65" s="166"/>
      <c r="AZ65" s="201"/>
      <c r="BA65" s="167"/>
    </row>
    <row r="66" spans="1:53" ht="12.2" customHeight="1">
      <c r="A66" s="17"/>
      <c r="B66" s="25"/>
      <c r="C66" s="26"/>
      <c r="D66" s="189"/>
      <c r="E66" s="190"/>
      <c r="F66" s="186"/>
      <c r="G66" s="187"/>
      <c r="H66" s="187"/>
      <c r="I66" s="187"/>
      <c r="J66" s="187"/>
      <c r="K66" s="187"/>
      <c r="L66" s="187"/>
      <c r="M66" s="187"/>
      <c r="N66" s="188"/>
      <c r="O66" s="206"/>
      <c r="P66" s="207"/>
      <c r="Q66" s="207"/>
      <c r="R66" s="207"/>
      <c r="S66" s="208"/>
      <c r="T66" s="189"/>
      <c r="U66" s="205"/>
      <c r="V66" s="190"/>
      <c r="W66" s="189"/>
      <c r="X66" s="205"/>
      <c r="Y66" s="190"/>
      <c r="Z66" s="189"/>
      <c r="AA66" s="205"/>
      <c r="AB66" s="190"/>
      <c r="AC66" s="189"/>
      <c r="AD66" s="190"/>
      <c r="AE66" s="186"/>
      <c r="AF66" s="187"/>
      <c r="AG66" s="187"/>
      <c r="AH66" s="187"/>
      <c r="AI66" s="187"/>
      <c r="AJ66" s="187"/>
      <c r="AK66" s="187"/>
      <c r="AL66" s="187"/>
      <c r="AM66" s="188"/>
      <c r="AN66" s="206"/>
      <c r="AO66" s="207"/>
      <c r="AP66" s="207"/>
      <c r="AQ66" s="207"/>
      <c r="AR66" s="208"/>
      <c r="AS66" s="189"/>
      <c r="AT66" s="205"/>
      <c r="AU66" s="190"/>
      <c r="AV66" s="189"/>
      <c r="AW66" s="205"/>
      <c r="AX66" s="190"/>
      <c r="AY66" s="189"/>
      <c r="AZ66" s="205"/>
      <c r="BA66" s="190"/>
    </row>
    <row r="67" spans="1:53" s="5" customFormat="1" ht="12.2" customHeight="1">
      <c r="A67" s="17"/>
      <c r="B67" s="27"/>
      <c r="C67" s="28"/>
      <c r="D67" s="27" t="s">
        <v>3</v>
      </c>
      <c r="E67" s="28"/>
      <c r="F67" s="27" t="s">
        <v>80</v>
      </c>
      <c r="G67" s="200"/>
      <c r="H67" s="200"/>
      <c r="I67" s="200"/>
      <c r="J67" s="200"/>
      <c r="K67" s="200"/>
      <c r="L67" s="200"/>
      <c r="M67" s="200"/>
      <c r="N67" s="28"/>
      <c r="O67" s="27" t="s">
        <v>81</v>
      </c>
      <c r="P67" s="200"/>
      <c r="Q67" s="200"/>
      <c r="R67" s="200"/>
      <c r="S67" s="28"/>
      <c r="T67" s="27" t="s">
        <v>82</v>
      </c>
      <c r="U67" s="200"/>
      <c r="V67" s="28"/>
      <c r="W67" s="27" t="s">
        <v>83</v>
      </c>
      <c r="X67" s="200"/>
      <c r="Y67" s="28"/>
      <c r="Z67" s="27" t="s">
        <v>84</v>
      </c>
      <c r="AA67" s="200"/>
      <c r="AB67" s="28"/>
      <c r="AC67" s="27" t="s">
        <v>3</v>
      </c>
      <c r="AD67" s="28"/>
      <c r="AE67" s="27" t="s">
        <v>80</v>
      </c>
      <c r="AF67" s="200"/>
      <c r="AG67" s="200"/>
      <c r="AH67" s="200"/>
      <c r="AI67" s="200"/>
      <c r="AJ67" s="200"/>
      <c r="AK67" s="200"/>
      <c r="AL67" s="200"/>
      <c r="AM67" s="28"/>
      <c r="AN67" s="27" t="s">
        <v>81</v>
      </c>
      <c r="AO67" s="200"/>
      <c r="AP67" s="200"/>
      <c r="AQ67" s="200"/>
      <c r="AR67" s="28"/>
      <c r="AS67" s="27" t="s">
        <v>82</v>
      </c>
      <c r="AT67" s="200"/>
      <c r="AU67" s="28"/>
      <c r="AV67" s="27" t="s">
        <v>83</v>
      </c>
      <c r="AW67" s="200"/>
      <c r="AX67" s="28"/>
      <c r="AY67" s="27" t="s">
        <v>84</v>
      </c>
      <c r="AZ67" s="200"/>
      <c r="BA67" s="28"/>
    </row>
    <row r="68" spans="1:53" ht="12.2" customHeight="1">
      <c r="B68" s="2"/>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row>
  </sheetData>
  <mergeCells count="446">
    <mergeCell ref="AY24:BA24"/>
    <mergeCell ref="AT26:BA26"/>
    <mergeCell ref="AY5:BA5"/>
    <mergeCell ref="W9:Y9"/>
    <mergeCell ref="AB5:AF5"/>
    <mergeCell ref="AG5:AJ5"/>
    <mergeCell ref="Q22:U22"/>
    <mergeCell ref="V24:Y24"/>
    <mergeCell ref="Q18:U18"/>
    <mergeCell ref="Q21:U21"/>
    <mergeCell ref="V25:AC25"/>
    <mergeCell ref="AT18:BA18"/>
    <mergeCell ref="AT19:BA19"/>
    <mergeCell ref="AY23:BA23"/>
    <mergeCell ref="AT24:AW24"/>
    <mergeCell ref="AY20:BA20"/>
    <mergeCell ref="AT21:AW21"/>
    <mergeCell ref="AK5:AQ5"/>
    <mergeCell ref="AV5:AX5"/>
    <mergeCell ref="AB6:AK6"/>
    <mergeCell ref="M7:AN7"/>
    <mergeCell ref="AD26:AK26"/>
    <mergeCell ref="AT25:BA25"/>
    <mergeCell ref="AD25:AK25"/>
    <mergeCell ref="AT32:AY32"/>
    <mergeCell ref="AW11:AZ11"/>
    <mergeCell ref="AL11:AV11"/>
    <mergeCell ref="AL31:BA31"/>
    <mergeCell ref="AL6:BA6"/>
    <mergeCell ref="AC40:AK40"/>
    <mergeCell ref="AC39:AK39"/>
    <mergeCell ref="AC37:AK37"/>
    <mergeCell ref="Z9:AI9"/>
    <mergeCell ref="AJ9:AN9"/>
    <mergeCell ref="AL16:AS16"/>
    <mergeCell ref="V16:AC16"/>
    <mergeCell ref="AT27:BA27"/>
    <mergeCell ref="AY21:BA21"/>
    <mergeCell ref="AT22:AW22"/>
    <mergeCell ref="AY22:BA22"/>
    <mergeCell ref="AL26:AS26"/>
    <mergeCell ref="AL24:AO24"/>
    <mergeCell ref="AC38:AK38"/>
    <mergeCell ref="AC36:AF36"/>
    <mergeCell ref="AH36:AK36"/>
    <mergeCell ref="AL21:AO21"/>
    <mergeCell ref="AI24:AK24"/>
    <mergeCell ref="AL27:AS27"/>
    <mergeCell ref="V26:AC26"/>
    <mergeCell ref="AD16:AK16"/>
    <mergeCell ref="F46:AK46"/>
    <mergeCell ref="P44:X44"/>
    <mergeCell ref="T37:AB37"/>
    <mergeCell ref="Q33:U33"/>
    <mergeCell ref="P36:S36"/>
    <mergeCell ref="T39:AB39"/>
    <mergeCell ref="V27:AC27"/>
    <mergeCell ref="Q19:U19"/>
    <mergeCell ref="F17:P17"/>
    <mergeCell ref="F18:P18"/>
    <mergeCell ref="Q23:U23"/>
    <mergeCell ref="F26:P26"/>
    <mergeCell ref="V23:Y23"/>
    <mergeCell ref="AA21:AC21"/>
    <mergeCell ref="AA22:AC22"/>
    <mergeCell ref="V22:Y22"/>
    <mergeCell ref="T38:AB38"/>
    <mergeCell ref="Q28:U28"/>
    <mergeCell ref="Q25:U25"/>
    <mergeCell ref="Q31:U31"/>
    <mergeCell ref="F32:K32"/>
    <mergeCell ref="F24:L24"/>
    <mergeCell ref="AL32:AS32"/>
    <mergeCell ref="AL30:BA30"/>
    <mergeCell ref="AL29:BA29"/>
    <mergeCell ref="AZ32:BA32"/>
    <mergeCell ref="AQ24:AS24"/>
    <mergeCell ref="AL18:AS18"/>
    <mergeCell ref="AD17:AK17"/>
    <mergeCell ref="AL17:AS17"/>
    <mergeCell ref="V19:AC19"/>
    <mergeCell ref="V17:AC17"/>
    <mergeCell ref="V18:AC18"/>
    <mergeCell ref="AD18:AK18"/>
    <mergeCell ref="AD19:AK19"/>
    <mergeCell ref="AL19:AS19"/>
    <mergeCell ref="AQ21:AS21"/>
    <mergeCell ref="AQ22:AS22"/>
    <mergeCell ref="AL23:AO23"/>
    <mergeCell ref="AQ23:AS23"/>
    <mergeCell ref="AL20:AO20"/>
    <mergeCell ref="AQ20:AS20"/>
    <mergeCell ref="AA24:AC24"/>
    <mergeCell ref="AA23:AC23"/>
    <mergeCell ref="AD20:AG20"/>
    <mergeCell ref="AD21:AG21"/>
    <mergeCell ref="F56:BA56"/>
    <mergeCell ref="F55:BA55"/>
    <mergeCell ref="AS53:AY53"/>
    <mergeCell ref="AM53:AR53"/>
    <mergeCell ref="AL25:AS25"/>
    <mergeCell ref="Q17:U17"/>
    <mergeCell ref="V20:Y20"/>
    <mergeCell ref="F53:K53"/>
    <mergeCell ref="W53:AB53"/>
    <mergeCell ref="AZ53:BA53"/>
    <mergeCell ref="U53:V53"/>
    <mergeCell ref="AK53:AL53"/>
    <mergeCell ref="AC53:AJ53"/>
    <mergeCell ref="L53:T53"/>
    <mergeCell ref="AB52:AE52"/>
    <mergeCell ref="AG52:AT52"/>
    <mergeCell ref="AA20:AC20"/>
    <mergeCell ref="V21:Y21"/>
    <mergeCell ref="Q24:U24"/>
    <mergeCell ref="M24:P24"/>
    <mergeCell ref="Y36:AB36"/>
    <mergeCell ref="AL28:AO28"/>
    <mergeCell ref="AX28:BA28"/>
    <mergeCell ref="AT28:AW28"/>
    <mergeCell ref="D53:E53"/>
    <mergeCell ref="D54:E54"/>
    <mergeCell ref="D55:E55"/>
    <mergeCell ref="D56:E56"/>
    <mergeCell ref="F54:I54"/>
    <mergeCell ref="J54:BA54"/>
    <mergeCell ref="AC67:AD67"/>
    <mergeCell ref="AE67:AM67"/>
    <mergeCell ref="AN67:AR67"/>
    <mergeCell ref="AS67:AU67"/>
    <mergeCell ref="AV67:AX67"/>
    <mergeCell ref="D66:E66"/>
    <mergeCell ref="F66:N66"/>
    <mergeCell ref="O66:S66"/>
    <mergeCell ref="T66:V66"/>
    <mergeCell ref="W66:Y66"/>
    <mergeCell ref="AY67:BA67"/>
    <mergeCell ref="AY66:BA66"/>
    <mergeCell ref="D67:E67"/>
    <mergeCell ref="F67:N67"/>
    <mergeCell ref="O67:S67"/>
    <mergeCell ref="T67:V67"/>
    <mergeCell ref="W67:Y67"/>
    <mergeCell ref="AS66:AU66"/>
    <mergeCell ref="Z67:AB67"/>
    <mergeCell ref="AY65:BA65"/>
    <mergeCell ref="Z65:AB65"/>
    <mergeCell ref="AC65:AD65"/>
    <mergeCell ref="AE65:AM65"/>
    <mergeCell ref="AN65:AR65"/>
    <mergeCell ref="AS65:AU65"/>
    <mergeCell ref="AV65:AX65"/>
    <mergeCell ref="D65:E65"/>
    <mergeCell ref="F65:N65"/>
    <mergeCell ref="O65:S65"/>
    <mergeCell ref="T65:V65"/>
    <mergeCell ref="W65:Y65"/>
    <mergeCell ref="Z66:AB66"/>
    <mergeCell ref="AC66:AD66"/>
    <mergeCell ref="AE66:AM66"/>
    <mergeCell ref="AN66:AR66"/>
    <mergeCell ref="AV66:AX66"/>
    <mergeCell ref="D64:E64"/>
    <mergeCell ref="F64:N64"/>
    <mergeCell ref="O64:S64"/>
    <mergeCell ref="T64:V64"/>
    <mergeCell ref="W64:Y64"/>
    <mergeCell ref="F58:BA58"/>
    <mergeCell ref="AE64:AM64"/>
    <mergeCell ref="AN64:AR64"/>
    <mergeCell ref="AS64:AU64"/>
    <mergeCell ref="AV64:AX64"/>
    <mergeCell ref="AY64:BA64"/>
    <mergeCell ref="Z64:AB64"/>
    <mergeCell ref="AC64:AD64"/>
    <mergeCell ref="F61:BA61"/>
    <mergeCell ref="F62:BA62"/>
    <mergeCell ref="B63:C63"/>
    <mergeCell ref="B62:C62"/>
    <mergeCell ref="B61:C61"/>
    <mergeCell ref="F59:BA59"/>
    <mergeCell ref="D57:E57"/>
    <mergeCell ref="B58:C58"/>
    <mergeCell ref="D58:E58"/>
    <mergeCell ref="F63:BA63"/>
    <mergeCell ref="D63:E63"/>
    <mergeCell ref="D59:E59"/>
    <mergeCell ref="D60:E60"/>
    <mergeCell ref="D61:E61"/>
    <mergeCell ref="D62:E62"/>
    <mergeCell ref="F60:BA60"/>
    <mergeCell ref="B60:C60"/>
    <mergeCell ref="B59:C59"/>
    <mergeCell ref="B57:C57"/>
    <mergeCell ref="F57:BA57"/>
    <mergeCell ref="AL33:BA47"/>
    <mergeCell ref="D50:E50"/>
    <mergeCell ref="F50:H50"/>
    <mergeCell ref="I50:AC50"/>
    <mergeCell ref="AI49:BA49"/>
    <mergeCell ref="F52:U52"/>
    <mergeCell ref="V52:Z52"/>
    <mergeCell ref="AU52:BA52"/>
    <mergeCell ref="AD49:AH49"/>
    <mergeCell ref="AD50:AH50"/>
    <mergeCell ref="D52:E52"/>
    <mergeCell ref="D51:E51"/>
    <mergeCell ref="F51:AC51"/>
    <mergeCell ref="Y33:AC33"/>
    <mergeCell ref="AD33:AF33"/>
    <mergeCell ref="AG33:AK33"/>
    <mergeCell ref="F35:S35"/>
    <mergeCell ref="T35:AB35"/>
    <mergeCell ref="AC35:AK35"/>
    <mergeCell ref="V33:X33"/>
    <mergeCell ref="D34:E34"/>
    <mergeCell ref="F34:AK34"/>
    <mergeCell ref="D46:E46"/>
    <mergeCell ref="T45:AI45"/>
    <mergeCell ref="D16:E16"/>
    <mergeCell ref="D17:E17"/>
    <mergeCell ref="B37:C37"/>
    <mergeCell ref="D33:E33"/>
    <mergeCell ref="Q32:U32"/>
    <mergeCell ref="F33:P33"/>
    <mergeCell ref="AD51:BA51"/>
    <mergeCell ref="D49:E49"/>
    <mergeCell ref="F49:H49"/>
    <mergeCell ref="I49:AC49"/>
    <mergeCell ref="D48:E48"/>
    <mergeCell ref="F48:AC48"/>
    <mergeCell ref="AD48:BA48"/>
    <mergeCell ref="F47:AK47"/>
    <mergeCell ref="AC41:AK41"/>
    <mergeCell ref="B46:C46"/>
    <mergeCell ref="B40:C40"/>
    <mergeCell ref="B41:C41"/>
    <mergeCell ref="B42:C42"/>
    <mergeCell ref="B39:C39"/>
    <mergeCell ref="B43:C43"/>
    <mergeCell ref="B44:C44"/>
    <mergeCell ref="F39:S39"/>
    <mergeCell ref="D43:E43"/>
    <mergeCell ref="V29:AK29"/>
    <mergeCell ref="V31:AK31"/>
    <mergeCell ref="D8:E8"/>
    <mergeCell ref="D9:E9"/>
    <mergeCell ref="AO7:AP7"/>
    <mergeCell ref="W10:AD10"/>
    <mergeCell ref="AL12:BA12"/>
    <mergeCell ref="AO8:AP8"/>
    <mergeCell ref="V12:AK12"/>
    <mergeCell ref="V11:AK11"/>
    <mergeCell ref="AR10:AY10"/>
    <mergeCell ref="L9:V9"/>
    <mergeCell ref="F7:L7"/>
    <mergeCell ref="AZ10:BA10"/>
    <mergeCell ref="AQ8:BA8"/>
    <mergeCell ref="AO9:BA9"/>
    <mergeCell ref="F12:U12"/>
    <mergeCell ref="F11:U11"/>
    <mergeCell ref="D7:E7"/>
    <mergeCell ref="F10:N10"/>
    <mergeCell ref="D28:E28"/>
    <mergeCell ref="D29:E29"/>
    <mergeCell ref="D23:E23"/>
    <mergeCell ref="D24:E24"/>
    <mergeCell ref="F30:P30"/>
    <mergeCell ref="AJ32:AK32"/>
    <mergeCell ref="D25:E25"/>
    <mergeCell ref="D35:E35"/>
    <mergeCell ref="F28:P28"/>
    <mergeCell ref="F27:P27"/>
    <mergeCell ref="D36:E36"/>
    <mergeCell ref="B45:C45"/>
    <mergeCell ref="D45:E45"/>
    <mergeCell ref="F43:J43"/>
    <mergeCell ref="D37:E37"/>
    <mergeCell ref="D38:E38"/>
    <mergeCell ref="P37:S37"/>
    <mergeCell ref="F37:O37"/>
    <mergeCell ref="D39:E39"/>
    <mergeCell ref="D40:E40"/>
    <mergeCell ref="D41:E41"/>
    <mergeCell ref="D42:E42"/>
    <mergeCell ref="P41:S41"/>
    <mergeCell ref="F40:J42"/>
    <mergeCell ref="B38:C38"/>
    <mergeCell ref="K40:O40"/>
    <mergeCell ref="D32:E32"/>
    <mergeCell ref="B29:C29"/>
    <mergeCell ref="B56:C56"/>
    <mergeCell ref="B47:C47"/>
    <mergeCell ref="B49:C49"/>
    <mergeCell ref="B54:C54"/>
    <mergeCell ref="B53:C53"/>
    <mergeCell ref="B50:C50"/>
    <mergeCell ref="B51:C51"/>
    <mergeCell ref="B52:C52"/>
    <mergeCell ref="B55:C55"/>
    <mergeCell ref="B48:C48"/>
    <mergeCell ref="B7:C7"/>
    <mergeCell ref="B36:C36"/>
    <mergeCell ref="B14:C14"/>
    <mergeCell ref="B15:C15"/>
    <mergeCell ref="B9:C9"/>
    <mergeCell ref="B12:C12"/>
    <mergeCell ref="B13:C13"/>
    <mergeCell ref="B19:C19"/>
    <mergeCell ref="B17:C17"/>
    <mergeCell ref="B23:C23"/>
    <mergeCell ref="B30:C30"/>
    <mergeCell ref="B34:C34"/>
    <mergeCell ref="B35:C35"/>
    <mergeCell ref="B33:C33"/>
    <mergeCell ref="B32:C32"/>
    <mergeCell ref="B11:C11"/>
    <mergeCell ref="B18:C18"/>
    <mergeCell ref="B25:C25"/>
    <mergeCell ref="B26:C26"/>
    <mergeCell ref="B31:C31"/>
    <mergeCell ref="B16:C16"/>
    <mergeCell ref="B28:C28"/>
    <mergeCell ref="B27:C27"/>
    <mergeCell ref="B8:C8"/>
    <mergeCell ref="AC44:AE44"/>
    <mergeCell ref="AG44:AI44"/>
    <mergeCell ref="AJ45:AK45"/>
    <mergeCell ref="F44:O44"/>
    <mergeCell ref="Y44:AA44"/>
    <mergeCell ref="AJ44:AK44"/>
    <mergeCell ref="T36:W36"/>
    <mergeCell ref="AC42:AK42"/>
    <mergeCell ref="AJ43:AK43"/>
    <mergeCell ref="T43:Y43"/>
    <mergeCell ref="F45:S45"/>
    <mergeCell ref="F36:O36"/>
    <mergeCell ref="T40:AB40"/>
    <mergeCell ref="D44:E44"/>
    <mergeCell ref="D47:E47"/>
    <mergeCell ref="F38:S38"/>
    <mergeCell ref="D30:E30"/>
    <mergeCell ref="D31:E31"/>
    <mergeCell ref="Q30:U30"/>
    <mergeCell ref="D26:E26"/>
    <mergeCell ref="AD27:AK27"/>
    <mergeCell ref="V28:Y28"/>
    <mergeCell ref="Z28:AC28"/>
    <mergeCell ref="F29:P29"/>
    <mergeCell ref="F31:P31"/>
    <mergeCell ref="D27:E27"/>
    <mergeCell ref="Q26:U26"/>
    <mergeCell ref="Q29:U29"/>
    <mergeCell ref="Q27:U27"/>
    <mergeCell ref="T42:AB42"/>
    <mergeCell ref="K43:S43"/>
    <mergeCell ref="V32:Z32"/>
    <mergeCell ref="V30:AK30"/>
    <mergeCell ref="K41:O41"/>
    <mergeCell ref="K42:O42"/>
    <mergeCell ref="P40:S40"/>
    <mergeCell ref="P42:S42"/>
    <mergeCell ref="B1:C6"/>
    <mergeCell ref="D1:AA2"/>
    <mergeCell ref="AB4:AF4"/>
    <mergeCell ref="D4:AA6"/>
    <mergeCell ref="AB1:BA3"/>
    <mergeCell ref="D3:AA3"/>
    <mergeCell ref="AR4:AU4"/>
    <mergeCell ref="AG4:AJ4"/>
    <mergeCell ref="AK4:AQ4"/>
    <mergeCell ref="AY4:BA4"/>
    <mergeCell ref="AR5:AU5"/>
    <mergeCell ref="AV4:AX4"/>
    <mergeCell ref="B10:C10"/>
    <mergeCell ref="AL13:BA13"/>
    <mergeCell ref="AL15:AS15"/>
    <mergeCell ref="AD28:AG28"/>
    <mergeCell ref="AH28:AK28"/>
    <mergeCell ref="V14:AK14"/>
    <mergeCell ref="AL14:BA14"/>
    <mergeCell ref="V15:AC15"/>
    <mergeCell ref="AD15:AK15"/>
    <mergeCell ref="AT15:BA15"/>
    <mergeCell ref="F19:P19"/>
    <mergeCell ref="F25:P25"/>
    <mergeCell ref="AD22:AG22"/>
    <mergeCell ref="AD24:AG24"/>
    <mergeCell ref="AD23:AG23"/>
    <mergeCell ref="AI22:AK22"/>
    <mergeCell ref="AI23:AK23"/>
    <mergeCell ref="B20:C20"/>
    <mergeCell ref="B22:C22"/>
    <mergeCell ref="B21:C21"/>
    <mergeCell ref="B24:C24"/>
    <mergeCell ref="D10:E10"/>
    <mergeCell ref="D21:E21"/>
    <mergeCell ref="D22:E22"/>
    <mergeCell ref="D13:E13"/>
    <mergeCell ref="D14:E14"/>
    <mergeCell ref="D15:E15"/>
    <mergeCell ref="AQ7:BA7"/>
    <mergeCell ref="D11:E11"/>
    <mergeCell ref="D12:E12"/>
    <mergeCell ref="O10:T10"/>
    <mergeCell ref="U10:V10"/>
    <mergeCell ref="AI20:AK20"/>
    <mergeCell ref="F9:K9"/>
    <mergeCell ref="V13:AK13"/>
    <mergeCell ref="F13:U13"/>
    <mergeCell ref="AT16:BA16"/>
    <mergeCell ref="AT17:BA17"/>
    <mergeCell ref="Q14:U14"/>
    <mergeCell ref="Q15:U15"/>
    <mergeCell ref="F14:P14"/>
    <mergeCell ref="F15:P15"/>
    <mergeCell ref="F16:P16"/>
    <mergeCell ref="Q16:U16"/>
    <mergeCell ref="D20:E20"/>
    <mergeCell ref="D18:E18"/>
    <mergeCell ref="D19:E19"/>
    <mergeCell ref="F20:G20"/>
    <mergeCell ref="A59:A67"/>
    <mergeCell ref="Q20:U20"/>
    <mergeCell ref="M21:P21"/>
    <mergeCell ref="L32:P32"/>
    <mergeCell ref="T41:AB41"/>
    <mergeCell ref="B64:C67"/>
    <mergeCell ref="H20:P20"/>
    <mergeCell ref="F21:L21"/>
    <mergeCell ref="F22:L22"/>
    <mergeCell ref="F23:L23"/>
    <mergeCell ref="A1:A58"/>
    <mergeCell ref="F8:AN8"/>
    <mergeCell ref="M22:P22"/>
    <mergeCell ref="M23:P23"/>
    <mergeCell ref="AI50:BA50"/>
    <mergeCell ref="Z43:AI43"/>
    <mergeCell ref="AA32:AI32"/>
    <mergeCell ref="AI21:AK21"/>
    <mergeCell ref="AJ10:AQ10"/>
    <mergeCell ref="AE10:AI10"/>
    <mergeCell ref="AT20:AW20"/>
    <mergeCell ref="AT23:AW23"/>
    <mergeCell ref="AL22:AO22"/>
    <mergeCell ref="AP28:AS28"/>
  </mergeCells>
  <printOptions horizontalCentered="1"/>
  <pageMargins left="0.19685039370078741" right="0.19685039370078741" top="0.19685039370078741" bottom="0.39370078740157483" header="0.19685039370078741" footer="0.19685039370078741"/>
  <pageSetup paperSize="119" scale="97" orientation="portrait" r:id="rId1"/>
  <headerFooter alignWithMargins="0">
    <oddFooter>&amp;C&amp;"Arial Black,Normale"TECHNIP ITALY S.p.A. &amp;"Arial,Normale"- 00148 ROMA - Viale Castello della Magliana, 68</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DS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2006-09-25T12:47:36Z</dcterms:created>
  <dcterms:modified xsi:type="dcterms:W3CDTF">2013-05-13T15:04:18Z</dcterms:modified>
</cp:coreProperties>
</file>